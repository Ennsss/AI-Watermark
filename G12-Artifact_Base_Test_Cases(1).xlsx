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ocument Summary" sheetId="1" state="visible" r:id="rId1"/>
    <sheet name="Watermark Engine - TC" sheetId="2" state="visible" r:id="rId2"/>
    <sheet name="Register Artwork - TC" sheetId="3" state="visible" r:id="rId3"/>
    <sheet name="Artwork Registry - TC" sheetId="4" state="visible" r:id="rId4"/>
    <sheet name="Artwork Detail - TC" sheetId="5" state="visible" r:id="rId5"/>
    <sheet name="Verify Image - TC" sheetId="6" state="visible" r:id="rId6"/>
    <sheet name="Verification History - TC" sheetId="7" state="visible" r:id="rId7"/>
    <sheet name="Technical Report - TC" sheetId="8" state="visible" r:id="rId8"/>
    <sheet name="Dashboard - TC" sheetId="9" state="visible" r:id="rId9"/>
    <sheet name="Storage Retrieval - TC" sheetId="10" state="visible" r:id="rId10"/>
    <sheet name="Interface Responsive - TC" sheetId="11" state="visible" r:id="rId11"/>
    <sheet name="Core Workflows - TC" sheetId="12" state="visible" r:id="rId12"/>
    <sheet name="Defect Summary" sheetId="13" state="visible" r:id="rId13"/>
    <sheet name="Test Case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rlito"/>
      <color rgb="FF000000"/>
      <sz val="11"/>
      <scheme val="minor"/>
    </font>
    <font>
      <name val="Carlito"/>
      <b val="1"/>
      <color rgb="FFF7F7F2"/>
      <sz val="16"/>
    </font>
    <font/>
    <font>
      <name val="Carlito"/>
      <color theme="1"/>
      <sz val="11"/>
    </font>
    <font>
      <name val="Carlito"/>
      <b val="1"/>
      <color rgb="FF12141C"/>
      <sz val="11"/>
    </font>
    <font>
      <name val="Carlito"/>
      <b val="1"/>
      <color rgb="FFF7F7F2"/>
      <sz val="14"/>
    </font>
    <font>
      <name val="Carlito"/>
      <b val="1"/>
      <color rgb="FFFFFFFF"/>
      <sz val="11"/>
    </font>
    <font>
      <name val="Carlito"/>
      <b val="1"/>
      <color rgb="FFF7F7F2"/>
      <sz val="11"/>
    </font>
    <font>
      <name val="Carlito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12141C"/>
        <bgColor rgb="FF12141C"/>
      </patternFill>
    </fill>
    <fill>
      <patternFill patternType="solid">
        <fgColor rgb="FF07BED5"/>
        <bgColor rgb="FF07BED5"/>
      </patternFill>
    </fill>
    <fill>
      <patternFill patternType="solid">
        <fgColor rgb="FFFFC72C"/>
        <bgColor rgb="FFFFC72C"/>
      </patternFill>
    </fill>
    <fill>
      <patternFill patternType="solid">
        <fgColor rgb="FFC8102E"/>
        <bgColor rgb="FFC8102E"/>
      </patternFill>
    </fill>
    <fill>
      <patternFill patternType="solid">
        <fgColor rgb="FF242833"/>
        <bgColor rgb="FF242833"/>
      </patternFill>
    </fill>
    <fill>
      <patternFill patternType="solid">
        <fgColor rgb="FFF7F7F2"/>
        <bgColor rgb="FFF7F7F2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3" borderId="1" applyAlignment="1" pivotButton="0" quotePrefix="0" xfId="0">
      <alignment horizont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4" borderId="3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4" borderId="1" applyAlignment="1" pivotButton="0" quotePrefix="0" xfId="0">
      <alignment horizontal="left" vertical="center" wrapText="1"/>
    </xf>
    <xf numFmtId="0" fontId="7" fillId="6" borderId="3" pivotButton="0" quotePrefix="0" xfId="0"/>
    <xf numFmtId="0" fontId="4" fillId="7" borderId="3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7" fillId="6" borderId="1" pivotButton="0" quotePrefix="0" xfId="0"/>
    <xf numFmtId="0" fontId="7" fillId="6" borderId="3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8" fillId="0" borderId="0" pivotButton="0" quotePrefix="0" xfId="0"/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wrapText="1"/>
    </xf>
    <xf numFmtId="0" fontId="4" fillId="3" borderId="3" applyAlignment="1" pivotButton="0" quotePrefix="0" xfId="0">
      <alignment horizontal="center"/>
    </xf>
    <xf numFmtId="0" fontId="5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/>
    </xf>
  </cellXfs>
  <cellStyles count="1">
    <cellStyle name="Normal" xfId="0" builtinId="0"/>
  </cellStyles>
  <dxfs count="8">
    <dxf>
      <font>
        <b val="1"/>
        <color rgb="FF1F4E78"/>
      </font>
      <fill>
        <patternFill patternType="solid">
          <fgColor rgb="FFDDEBF7"/>
          <bgColor rgb="FFDDEBF7"/>
        </patternFill>
      </fill>
      <border/>
    </dxf>
    <dxf>
      <font>
        <b val="1"/>
        <color rgb="FF375623"/>
      </font>
      <fill>
        <patternFill patternType="solid">
          <fgColor rgb="FFE2F0D9"/>
          <bgColor rgb="FFE2F0D9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C65911"/>
      </font>
      <fill>
        <patternFill patternType="solid">
          <fgColor rgb="FFFCE4D6"/>
          <bgColor rgb="FFFCE4D6"/>
        </patternFill>
      </fill>
      <border/>
    </dxf>
    <dxf>
      <font>
        <b val="1"/>
        <color rgb="FF375623"/>
      </font>
      <fill>
        <patternFill patternType="solid">
          <fgColor rgb="FFC6E0B4"/>
          <bgColor rgb="FFC6E0B4"/>
        </patternFill>
      </fill>
      <border/>
    </dxf>
    <dxf>
      <font>
        <b val="1"/>
        <color rgb="FF9C0006"/>
      </font>
      <fill>
        <patternFill patternType="solid">
          <fgColor rgb="FFF4CCCC"/>
          <bgColor rgb="FFF4CCCC"/>
        </patternFill>
      </fill>
      <border/>
    </dxf>
    <dxf>
      <font>
        <b val="1"/>
        <color rgb="FFB45F06"/>
      </font>
      <fill>
        <patternFill patternType="solid">
          <fgColor rgb="FFFCE5CD"/>
          <bgColor rgb="FFFCE5CD"/>
        </patternFill>
      </fill>
      <border/>
    </dxf>
    <dxf>
      <font>
        <b val="1"/>
        <color rgb="FF595959"/>
      </font>
      <fill>
        <patternFill patternType="solid">
          <fgColor rgb="FFE7E6E6"/>
          <bgColor rgb="FFE7E6E6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2.63" defaultRowHeight="15" customHeight="1"/>
  <cols>
    <col width="30" customWidth="1" style="24" min="1" max="1"/>
    <col width="85" customWidth="1" style="24" min="2" max="2"/>
    <col width="8.630000000000001" customWidth="1" style="24" min="3" max="26"/>
  </cols>
  <sheetData>
    <row r="1" ht="20.25" customHeight="1" s="24">
      <c r="A1" s="25" t="inlineStr">
        <is>
          <t>ARTIFACT TEST CASE BASE FILE</t>
        </is>
      </c>
    </row>
    <row r="2" ht="14.25" customHeight="1" s="24">
      <c r="A2" s="3" t="inlineStr">
        <is>
          <t>System</t>
        </is>
      </c>
      <c r="B2" s="3" t="inlineStr">
        <is>
          <t>Artifact: Registry-Centered Digital Artwork Provenance Verification Platform</t>
        </is>
      </c>
    </row>
    <row r="3" ht="14.25" customHeight="1" s="24">
      <c r="A3" s="3" t="inlineStr">
        <is>
          <t>Company</t>
        </is>
      </c>
      <c r="B3" s="3" t="inlineStr">
        <is>
          <t>ChickenScratch Co. (CSC)</t>
        </is>
      </c>
    </row>
    <row r="4" ht="14.25" customHeight="1" s="24">
      <c r="A4" s="3" t="inlineStr">
        <is>
          <t>Current MVP Engine</t>
        </is>
      </c>
      <c r="B4" s="3" t="inlineStr">
        <is>
          <t>Classical DWT-QIM baseline watermarking engine</t>
        </is>
      </c>
    </row>
    <row r="5" ht="14.25" customHeight="1" s="24">
      <c r="A5" s="3" t="inlineStr">
        <is>
          <t>Required Test Categories</t>
        </is>
      </c>
      <c r="B5" s="3" t="inlineStr">
        <is>
          <t>Unit, Integration, System, UAT</t>
        </is>
      </c>
    </row>
    <row r="6" ht="14.25" customHeight="1" s="24">
      <c r="A6" s="3" t="inlineStr">
        <is>
          <t>Verification Scope</t>
        </is>
      </c>
      <c r="B6" s="3" t="inlineStr">
        <is>
          <t>User selects ART-XXXX first; no automatic artwork identification or registry-wide matching</t>
        </is>
      </c>
    </row>
    <row r="7" ht="14.25" customHeight="1" s="24">
      <c r="A7" s="3" t="inlineStr">
        <is>
          <t>Authentication Scope</t>
        </is>
      </c>
      <c r="B7" s="3" t="inlineStr">
        <is>
          <t>Local single-user MVP; no login module</t>
        </is>
      </c>
    </row>
    <row r="8" ht="14.25" customHeight="1" s="24">
      <c r="A8" s="3" t="inlineStr">
        <is>
          <t>AI Scope</t>
        </is>
      </c>
      <c r="B8" s="3" t="inlineStr">
        <is>
          <t>No CNN or pretrained AI integration in current MVP</t>
        </is>
      </c>
    </row>
    <row r="9" ht="14.25" customHeight="1" s="24">
      <c r="A9" s="3" t="inlineStr">
        <is>
          <t>Batch Scope</t>
        </is>
      </c>
      <c r="B9" s="3" t="inlineStr">
        <is>
          <t>Not a current MVP requirement unless implemented; future premium/business-roadmap feature</t>
        </is>
      </c>
    </row>
    <row r="10" ht="28.5" customHeight="1" s="24">
      <c r="A10" s="3" t="inlineStr">
        <is>
          <t>Threshold Note</t>
        </is>
      </c>
      <c r="B10" s="3" t="inlineStr">
        <is>
          <t>Current verification acceptance/classification logic is under refactor; no fixed unresolved boundary is encoded in this base suite</t>
        </is>
      </c>
    </row>
    <row r="11" ht="14.25" customHeight="1" s="24">
      <c r="A11" s="3" t="inlineStr">
        <is>
          <t>Total Prepared Test Cases</t>
        </is>
      </c>
      <c r="B11" s="4" t="n">
        <v>240</v>
      </c>
    </row>
    <row r="12" ht="14.25" customHeight="1" s="24">
      <c r="A12" s="3" t="inlineStr">
        <is>
          <t>Execution Status</t>
        </is>
      </c>
      <c r="B12" s="3" t="inlineStr">
        <is>
          <t>All cases initially Not Executed</t>
        </is>
      </c>
    </row>
    <row r="13" ht="14.25" customHeight="1" s="24">
      <c r="A13" s="3" t="inlineStr">
        <is>
          <t>Source of Truth</t>
        </is>
      </c>
      <c r="B13" s="3" t="inlineStr">
        <is>
          <t>CAPSTONE_IDENTITY_PROJECT_PLAN_CONTEXT_UAT_UPDATED.md</t>
        </is>
      </c>
    </row>
    <row r="14" ht="14.25" customHeight="1" s="24">
      <c r="A14" s="3" t="inlineStr">
        <is>
          <t>Prepared By</t>
        </is>
      </c>
      <c r="B14" s="3" t="inlineStr">
        <is>
          <t>Angel James Gomez, Canard Cyris Quisayang, John Ulric Bon</t>
        </is>
      </c>
    </row>
    <row r="15" ht="14.25" customHeight="1" s="24">
      <c r="A15" s="3" t="n"/>
      <c r="B15" s="3" t="n"/>
    </row>
    <row r="16" ht="15" customHeight="1" s="24">
      <c r="A16" s="26" t="inlineStr">
        <is>
          <t>TEST CATEGORY DEFINITIONS</t>
        </is>
      </c>
    </row>
    <row r="17" ht="14.25" customHeight="1" s="24">
      <c r="A17" s="3" t="inlineStr">
        <is>
          <t>Unit</t>
        </is>
      </c>
      <c r="B17" s="3" t="inlineStr">
        <is>
          <t>Atomic logic or smallest meaningful function in isolation.</t>
        </is>
      </c>
    </row>
    <row r="18" ht="14.25" customHeight="1" s="24">
      <c r="A18" s="3" t="inlineStr">
        <is>
          <t>Integration</t>
        </is>
      </c>
      <c r="B18" s="3" t="inlineStr">
        <is>
          <t>Interaction between implemented modules/services used by the real platform workflow.</t>
        </is>
      </c>
    </row>
    <row r="19" ht="14.25" customHeight="1" s="24">
      <c r="A19" s="3" t="inlineStr">
        <is>
          <t>System</t>
        </is>
      </c>
      <c r="B19" s="3" t="inlineStr">
        <is>
          <t>Complete major end-to-end workflow through the running application.</t>
        </is>
      </c>
    </row>
    <row r="20" ht="28.5" customHeight="1" s="24">
      <c r="A20" s="3" t="inlineStr">
        <is>
          <t>UAT</t>
        </is>
      </c>
      <c r="B20" s="3" t="inlineStr">
        <is>
          <t>Representative user evaluates whether the finished workflow is understandable, usable, and acceptable.</t>
        </is>
      </c>
    </row>
    <row r="21" ht="14.25" customHeight="1" s="24">
      <c r="A21" s="3" t="n"/>
      <c r="B21" s="3" t="n"/>
    </row>
    <row r="22" ht="14.25" customHeight="1" s="24">
      <c r="A22" s="3" t="n"/>
      <c r="B22" s="3" t="n"/>
    </row>
    <row r="23" ht="15" customHeight="1" s="24">
      <c r="A23" s="26" t="inlineStr">
        <is>
          <t>MODULE CODE LEGEND</t>
        </is>
      </c>
    </row>
    <row r="24" ht="14.25" customHeight="1" s="24">
      <c r="A24" s="3" t="inlineStr">
        <is>
          <t>WM</t>
        </is>
      </c>
      <c r="B24" s="3" t="inlineStr">
        <is>
          <t>Watermark Engine</t>
        </is>
      </c>
    </row>
    <row r="25" ht="14.25" customHeight="1" s="24">
      <c r="A25" s="3" t="inlineStr">
        <is>
          <t>RA</t>
        </is>
      </c>
      <c r="B25" s="3" t="inlineStr">
        <is>
          <t>Register Artwork</t>
        </is>
      </c>
    </row>
    <row r="26" ht="14.25" customHeight="1" s="24">
      <c r="A26" s="3" t="inlineStr">
        <is>
          <t>RG</t>
        </is>
      </c>
      <c r="B26" s="3" t="inlineStr">
        <is>
          <t>Artwork Registry</t>
        </is>
      </c>
    </row>
    <row r="27" ht="14.25" customHeight="1" s="24">
      <c r="A27" s="3" t="inlineStr">
        <is>
          <t>AD</t>
        </is>
      </c>
      <c r="B27" s="3" t="inlineStr">
        <is>
          <t>Artwork Detail</t>
        </is>
      </c>
    </row>
    <row r="28" ht="14.25" customHeight="1" s="24">
      <c r="A28" s="3" t="inlineStr">
        <is>
          <t>VI</t>
        </is>
      </c>
      <c r="B28" s="3" t="inlineStr">
        <is>
          <t>Verify Image</t>
        </is>
      </c>
    </row>
    <row r="29" ht="14.25" customHeight="1" s="24">
      <c r="A29" s="3" t="inlineStr">
        <is>
          <t>VH</t>
        </is>
      </c>
      <c r="B29" s="3" t="inlineStr">
        <is>
          <t>Verification History</t>
        </is>
      </c>
    </row>
    <row r="30" ht="14.25" customHeight="1" s="24">
      <c r="A30" s="3" t="inlineStr">
        <is>
          <t>TR</t>
        </is>
      </c>
      <c r="B30" s="3" t="inlineStr">
        <is>
          <t>Technical Report</t>
        </is>
      </c>
    </row>
    <row r="31" ht="14.25" customHeight="1" s="24">
      <c r="A31" s="3" t="inlineStr">
        <is>
          <t>DM</t>
        </is>
      </c>
      <c r="B31" s="3" t="inlineStr">
        <is>
          <t>Dashboard</t>
        </is>
      </c>
    </row>
    <row r="32" ht="14.25" customHeight="1" s="24">
      <c r="A32" s="3" t="inlineStr">
        <is>
          <t>ST</t>
        </is>
      </c>
      <c r="B32" s="3" t="inlineStr">
        <is>
          <t>Storage Retrieval</t>
        </is>
      </c>
    </row>
    <row r="33" ht="14.25" customHeight="1" s="24">
      <c r="A33" s="3" t="inlineStr">
        <is>
          <t>UX</t>
        </is>
      </c>
      <c r="B33" s="3" t="inlineStr">
        <is>
          <t>Interface Responsive</t>
        </is>
      </c>
    </row>
    <row r="34" ht="14.25" customHeight="1" s="24">
      <c r="A34" s="3" t="inlineStr">
        <is>
          <t>CW</t>
        </is>
      </c>
      <c r="B34" s="3" t="inlineStr">
        <is>
          <t>Core Workflows</t>
        </is>
      </c>
    </row>
    <row r="35" ht="14.25" customHeight="1" s="24">
      <c r="A35" s="6" t="n"/>
      <c r="B35" s="6" t="n"/>
    </row>
    <row r="36" ht="15" customHeight="1" s="24">
      <c r="A36" s="27" t="inlineStr">
        <is>
          <t>EXECUTION DROPDOWNS</t>
        </is>
      </c>
    </row>
    <row r="37" ht="15" customHeight="1" s="24">
      <c r="A37" s="8" t="inlineStr">
        <is>
          <t>Browser Options</t>
        </is>
      </c>
      <c r="B37" s="3" t="inlineStr">
        <is>
          <t>Chrome, Edge, Firefox, Opera, All Supported Browsers, N/A</t>
        </is>
      </c>
    </row>
    <row r="38" ht="15" customHeight="1" s="24">
      <c r="A38" s="8" t="inlineStr">
        <is>
          <t>Status Options</t>
        </is>
      </c>
      <c r="B38" s="3" t="inlineStr">
        <is>
          <t>Not Executed, Passed, Failed, Blocked, Not Applicable</t>
        </is>
      </c>
    </row>
    <row r="39" ht="14.25" customHeight="1" s="24">
      <c r="A39" s="6" t="n"/>
      <c r="B39" s="6" t="n"/>
    </row>
    <row r="40" ht="15" customHeight="1" s="24">
      <c r="A40" s="27" t="inlineStr">
        <is>
          <t>DEFECT SUMMARY</t>
        </is>
      </c>
    </row>
    <row r="41" ht="29.25" customHeight="1" s="24">
      <c r="A41" s="8" t="inlineStr">
        <is>
          <t>Population Rule</t>
        </is>
      </c>
      <c r="B41" s="3" t="inlineStr">
        <is>
          <t>Log only observed, reproducible defects from executed test cases; do not invent defects during planning.</t>
        </is>
      </c>
    </row>
    <row r="42" ht="14.25" customHeight="1" s="24">
      <c r="A42" s="6" t="n"/>
      <c r="B42" s="6" t="n"/>
    </row>
    <row r="43" ht="14.25" customHeight="1" s="24">
      <c r="A43" s="6" t="n"/>
      <c r="B43" s="6" t="n"/>
    </row>
    <row r="44" ht="14.25" customHeight="1" s="24">
      <c r="A44" s="6" t="n"/>
      <c r="B44" s="6" t="n"/>
    </row>
    <row r="45" ht="14.25" customHeight="1" s="24">
      <c r="A45" s="6" t="n"/>
      <c r="B45" s="6" t="n"/>
    </row>
    <row r="46" ht="14.25" customHeight="1" s="24">
      <c r="A46" s="6" t="n"/>
      <c r="B46" s="6" t="n"/>
    </row>
    <row r="47" ht="14.25" customHeight="1" s="24">
      <c r="A47" s="6" t="n"/>
      <c r="B47" s="6" t="n"/>
    </row>
    <row r="48" ht="14.25" customHeight="1" s="24">
      <c r="A48" s="6" t="n"/>
      <c r="B48" s="6" t="n"/>
    </row>
    <row r="49" ht="14.25" customHeight="1" s="24">
      <c r="A49" s="6" t="n"/>
      <c r="B49" s="6" t="n"/>
    </row>
    <row r="50" ht="14.25" customHeight="1" s="24">
      <c r="A50" s="6" t="n"/>
      <c r="B50" s="6" t="n"/>
    </row>
    <row r="51" ht="14.25" customHeight="1" s="24">
      <c r="A51" s="6" t="n"/>
      <c r="B51" s="6" t="n"/>
    </row>
    <row r="52" ht="14.25" customHeight="1" s="24">
      <c r="A52" s="6" t="n"/>
      <c r="B52" s="6" t="n"/>
    </row>
    <row r="53" ht="14.25" customHeight="1" s="24">
      <c r="A53" s="6" t="n"/>
      <c r="B53" s="6" t="n"/>
    </row>
    <row r="54" ht="14.25" customHeight="1" s="24">
      <c r="A54" s="6" t="n"/>
      <c r="B54" s="6" t="n"/>
    </row>
    <row r="55" ht="14.25" customHeight="1" s="24">
      <c r="A55" s="6" t="n"/>
      <c r="B55" s="6" t="n"/>
    </row>
    <row r="56" ht="14.25" customHeight="1" s="24">
      <c r="A56" s="6" t="n"/>
      <c r="B56" s="6" t="n"/>
    </row>
    <row r="57" ht="14.25" customHeight="1" s="24">
      <c r="A57" s="6" t="n"/>
      <c r="B57" s="6" t="n"/>
    </row>
    <row r="58" ht="14.25" customHeight="1" s="24">
      <c r="A58" s="6" t="n"/>
      <c r="B58" s="6" t="n"/>
    </row>
    <row r="59" ht="14.25" customHeight="1" s="24">
      <c r="A59" s="6" t="n"/>
      <c r="B59" s="6" t="n"/>
    </row>
    <row r="60" ht="14.25" customHeight="1" s="24">
      <c r="A60" s="6" t="n"/>
      <c r="B60" s="6" t="n"/>
    </row>
    <row r="61" ht="14.25" customHeight="1" s="24">
      <c r="A61" s="6" t="n"/>
      <c r="B61" s="6" t="n"/>
    </row>
    <row r="62" ht="14.25" customHeight="1" s="24">
      <c r="A62" s="6" t="n"/>
      <c r="B62" s="6" t="n"/>
    </row>
    <row r="63" ht="14.25" customHeight="1" s="24">
      <c r="A63" s="6" t="n"/>
      <c r="B63" s="6" t="n"/>
    </row>
    <row r="64" ht="14.25" customHeight="1" s="24">
      <c r="A64" s="6" t="n"/>
      <c r="B64" s="6" t="n"/>
    </row>
    <row r="65" ht="14.25" customHeight="1" s="24">
      <c r="A65" s="6" t="n"/>
      <c r="B65" s="6" t="n"/>
    </row>
    <row r="66" ht="14.25" customHeight="1" s="24">
      <c r="A66" s="6" t="n"/>
      <c r="B66" s="6" t="n"/>
    </row>
    <row r="67" ht="14.25" customHeight="1" s="24">
      <c r="A67" s="6" t="n"/>
      <c r="B67" s="6" t="n"/>
    </row>
    <row r="68" ht="14.25" customHeight="1" s="24">
      <c r="A68" s="6" t="n"/>
      <c r="B68" s="6" t="n"/>
    </row>
    <row r="69" ht="14.25" customHeight="1" s="24">
      <c r="A69" s="6" t="n"/>
      <c r="B69" s="6" t="n"/>
    </row>
    <row r="70" ht="14.25" customHeight="1" s="24">
      <c r="A70" s="6" t="n"/>
      <c r="B70" s="6" t="n"/>
    </row>
    <row r="71" ht="14.25" customHeight="1" s="24">
      <c r="A71" s="6" t="n"/>
      <c r="B71" s="6" t="n"/>
    </row>
    <row r="72" ht="14.25" customHeight="1" s="24">
      <c r="A72" s="6" t="n"/>
      <c r="B72" s="6" t="n"/>
    </row>
    <row r="73" ht="14.25" customHeight="1" s="24">
      <c r="A73" s="6" t="n"/>
      <c r="B73" s="6" t="n"/>
    </row>
    <row r="74" ht="14.25" customHeight="1" s="24">
      <c r="A74" s="6" t="n"/>
      <c r="B74" s="6" t="n"/>
    </row>
    <row r="75" ht="14.25" customHeight="1" s="24">
      <c r="A75" s="6" t="n"/>
      <c r="B75" s="6" t="n"/>
    </row>
    <row r="76" ht="14.25" customHeight="1" s="24">
      <c r="A76" s="6" t="n"/>
      <c r="B76" s="6" t="n"/>
    </row>
    <row r="77" ht="14.25" customHeight="1" s="24">
      <c r="A77" s="6" t="n"/>
      <c r="B77" s="6" t="n"/>
    </row>
    <row r="78" ht="14.25" customHeight="1" s="24">
      <c r="A78" s="6" t="n"/>
      <c r="B78" s="6" t="n"/>
    </row>
    <row r="79" ht="14.25" customHeight="1" s="24">
      <c r="A79" s="6" t="n"/>
      <c r="B79" s="6" t="n"/>
    </row>
    <row r="80" ht="14.25" customHeight="1" s="24">
      <c r="A80" s="6" t="n"/>
      <c r="B80" s="6" t="n"/>
    </row>
    <row r="81" ht="14.25" customHeight="1" s="24">
      <c r="A81" s="6" t="n"/>
      <c r="B81" s="6" t="n"/>
    </row>
    <row r="82" ht="14.25" customHeight="1" s="24">
      <c r="A82" s="6" t="n"/>
      <c r="B82" s="6" t="n"/>
    </row>
    <row r="83" ht="14.25" customHeight="1" s="24">
      <c r="A83" s="6" t="n"/>
      <c r="B83" s="6" t="n"/>
    </row>
    <row r="84" ht="14.25" customHeight="1" s="24">
      <c r="A84" s="6" t="n"/>
      <c r="B84" s="6" t="n"/>
    </row>
    <row r="85" ht="14.25" customHeight="1" s="24">
      <c r="A85" s="6" t="n"/>
      <c r="B85" s="6" t="n"/>
    </row>
    <row r="86" ht="14.25" customHeight="1" s="24">
      <c r="A86" s="6" t="n"/>
      <c r="B86" s="6" t="n"/>
    </row>
    <row r="87" ht="14.25" customHeight="1" s="24">
      <c r="A87" s="6" t="n"/>
      <c r="B87" s="6" t="n"/>
    </row>
    <row r="88" ht="14.25" customHeight="1" s="24">
      <c r="A88" s="6" t="n"/>
      <c r="B88" s="6" t="n"/>
    </row>
    <row r="89" ht="14.25" customHeight="1" s="24">
      <c r="A89" s="6" t="n"/>
      <c r="B89" s="6" t="n"/>
    </row>
    <row r="90" ht="14.25" customHeight="1" s="24">
      <c r="A90" s="6" t="n"/>
      <c r="B90" s="6" t="n"/>
    </row>
    <row r="91" ht="14.25" customHeight="1" s="24">
      <c r="A91" s="6" t="n"/>
      <c r="B91" s="6" t="n"/>
    </row>
    <row r="92" ht="14.25" customHeight="1" s="24">
      <c r="A92" s="6" t="n"/>
      <c r="B92" s="6" t="n"/>
    </row>
    <row r="93" ht="14.25" customHeight="1" s="24">
      <c r="A93" s="6" t="n"/>
      <c r="B93" s="6" t="n"/>
    </row>
    <row r="94" ht="14.25" customHeight="1" s="24">
      <c r="A94" s="6" t="n"/>
      <c r="B94" s="6" t="n"/>
    </row>
    <row r="95" ht="14.25" customHeight="1" s="24">
      <c r="A95" s="6" t="n"/>
      <c r="B95" s="6" t="n"/>
    </row>
    <row r="96" ht="14.25" customHeight="1" s="24">
      <c r="A96" s="6" t="n"/>
      <c r="B96" s="6" t="n"/>
    </row>
    <row r="97" ht="14.25" customHeight="1" s="24">
      <c r="A97" s="6" t="n"/>
      <c r="B97" s="6" t="n"/>
    </row>
    <row r="98" ht="14.25" customHeight="1" s="24">
      <c r="A98" s="6" t="n"/>
      <c r="B98" s="6" t="n"/>
    </row>
    <row r="99" ht="14.25" customHeight="1" s="24">
      <c r="A99" s="6" t="n"/>
      <c r="B99" s="6" t="n"/>
    </row>
    <row r="100" ht="14.25" customHeight="1" s="24">
      <c r="A100" s="6" t="n"/>
      <c r="B100" s="6" t="n"/>
    </row>
    <row r="101" ht="14.25" customHeight="1" s="24">
      <c r="A101" s="6" t="n"/>
      <c r="B101" s="6" t="n"/>
    </row>
    <row r="102" ht="14.25" customHeight="1" s="24">
      <c r="A102" s="6" t="n"/>
      <c r="B102" s="6" t="n"/>
    </row>
    <row r="103" ht="14.25" customHeight="1" s="24">
      <c r="A103" s="6" t="n"/>
      <c r="B103" s="6" t="n"/>
    </row>
    <row r="104" ht="14.25" customHeight="1" s="24">
      <c r="A104" s="6" t="n"/>
      <c r="B104" s="6" t="n"/>
    </row>
    <row r="105" ht="14.25" customHeight="1" s="24">
      <c r="A105" s="6" t="n"/>
      <c r="B105" s="6" t="n"/>
    </row>
    <row r="106" ht="14.25" customHeight="1" s="24">
      <c r="A106" s="6" t="n"/>
      <c r="B106" s="6" t="n"/>
    </row>
    <row r="107" ht="14.25" customHeight="1" s="24">
      <c r="A107" s="6" t="n"/>
      <c r="B107" s="6" t="n"/>
    </row>
    <row r="108" ht="14.25" customHeight="1" s="24">
      <c r="A108" s="6" t="n"/>
      <c r="B108" s="6" t="n"/>
    </row>
    <row r="109" ht="14.25" customHeight="1" s="24">
      <c r="A109" s="6" t="n"/>
      <c r="B109" s="6" t="n"/>
    </row>
    <row r="110" ht="14.25" customHeight="1" s="24">
      <c r="A110" s="6" t="n"/>
      <c r="B110" s="6" t="n"/>
    </row>
    <row r="111" ht="14.25" customHeight="1" s="24">
      <c r="A111" s="6" t="n"/>
      <c r="B111" s="6" t="n"/>
    </row>
    <row r="112" ht="14.25" customHeight="1" s="24">
      <c r="A112" s="6" t="n"/>
      <c r="B112" s="6" t="n"/>
    </row>
    <row r="113" ht="14.25" customHeight="1" s="24">
      <c r="A113" s="6" t="n"/>
      <c r="B113" s="6" t="n"/>
    </row>
    <row r="114" ht="14.25" customHeight="1" s="24">
      <c r="A114" s="6" t="n"/>
      <c r="B114" s="6" t="n"/>
    </row>
    <row r="115" ht="14.25" customHeight="1" s="24">
      <c r="A115" s="6" t="n"/>
      <c r="B115" s="6" t="n"/>
    </row>
    <row r="116" ht="14.25" customHeight="1" s="24">
      <c r="A116" s="6" t="n"/>
      <c r="B116" s="6" t="n"/>
    </row>
    <row r="117" ht="14.25" customHeight="1" s="24">
      <c r="A117" s="6" t="n"/>
      <c r="B117" s="6" t="n"/>
    </row>
    <row r="118" ht="14.25" customHeight="1" s="24">
      <c r="A118" s="6" t="n"/>
      <c r="B118" s="6" t="n"/>
    </row>
    <row r="119" ht="14.25" customHeight="1" s="24">
      <c r="A119" s="6" t="n"/>
      <c r="B119" s="6" t="n"/>
    </row>
    <row r="120" ht="14.25" customHeight="1" s="24">
      <c r="A120" s="6" t="n"/>
      <c r="B120" s="6" t="n"/>
    </row>
    <row r="121" ht="14.25" customHeight="1" s="24">
      <c r="A121" s="6" t="n"/>
      <c r="B121" s="6" t="n"/>
    </row>
    <row r="122" ht="14.25" customHeight="1" s="24">
      <c r="A122" s="6" t="n"/>
      <c r="B122" s="6" t="n"/>
    </row>
    <row r="123" ht="14.25" customHeight="1" s="24">
      <c r="A123" s="6" t="n"/>
      <c r="B123" s="6" t="n"/>
    </row>
    <row r="124" ht="14.25" customHeight="1" s="24">
      <c r="A124" s="6" t="n"/>
      <c r="B124" s="6" t="n"/>
    </row>
    <row r="125" ht="14.25" customHeight="1" s="24">
      <c r="A125" s="6" t="n"/>
      <c r="B125" s="6" t="n"/>
    </row>
    <row r="126" ht="14.25" customHeight="1" s="24">
      <c r="A126" s="6" t="n"/>
      <c r="B126" s="6" t="n"/>
    </row>
    <row r="127" ht="14.25" customHeight="1" s="24">
      <c r="A127" s="6" t="n"/>
      <c r="B127" s="6" t="n"/>
    </row>
    <row r="128" ht="14.25" customHeight="1" s="24">
      <c r="A128" s="6" t="n"/>
      <c r="B128" s="6" t="n"/>
    </row>
    <row r="129" ht="14.25" customHeight="1" s="24">
      <c r="A129" s="6" t="n"/>
      <c r="B129" s="6" t="n"/>
    </row>
    <row r="130" ht="14.25" customHeight="1" s="24">
      <c r="A130" s="6" t="n"/>
      <c r="B130" s="6" t="n"/>
    </row>
    <row r="131" ht="14.25" customHeight="1" s="24">
      <c r="A131" s="6" t="n"/>
      <c r="B131" s="6" t="n"/>
    </row>
    <row r="132" ht="14.25" customHeight="1" s="24">
      <c r="A132" s="6" t="n"/>
      <c r="B132" s="6" t="n"/>
    </row>
    <row r="133" ht="14.25" customHeight="1" s="24">
      <c r="A133" s="6" t="n"/>
      <c r="B133" s="6" t="n"/>
    </row>
    <row r="134" ht="14.25" customHeight="1" s="24">
      <c r="A134" s="6" t="n"/>
      <c r="B134" s="6" t="n"/>
    </row>
    <row r="135" ht="14.25" customHeight="1" s="24">
      <c r="A135" s="6" t="n"/>
      <c r="B135" s="6" t="n"/>
    </row>
    <row r="136" ht="14.25" customHeight="1" s="24">
      <c r="A136" s="6" t="n"/>
      <c r="B136" s="6" t="n"/>
    </row>
    <row r="137" ht="14.25" customHeight="1" s="24">
      <c r="A137" s="6" t="n"/>
      <c r="B137" s="6" t="n"/>
    </row>
    <row r="138" ht="14.25" customHeight="1" s="24">
      <c r="A138" s="6" t="n"/>
      <c r="B138" s="6" t="n"/>
    </row>
    <row r="139" ht="14.25" customHeight="1" s="24">
      <c r="A139" s="6" t="n"/>
      <c r="B139" s="6" t="n"/>
    </row>
    <row r="140" ht="14.25" customHeight="1" s="24">
      <c r="A140" s="6" t="n"/>
      <c r="B140" s="6" t="n"/>
    </row>
    <row r="141" ht="14.25" customHeight="1" s="24">
      <c r="A141" s="6" t="n"/>
      <c r="B141" s="6" t="n"/>
    </row>
    <row r="142" ht="14.25" customHeight="1" s="24">
      <c r="A142" s="6" t="n"/>
      <c r="B142" s="6" t="n"/>
    </row>
    <row r="143" ht="14.25" customHeight="1" s="24">
      <c r="A143" s="6" t="n"/>
      <c r="B143" s="6" t="n"/>
    </row>
    <row r="144" ht="14.25" customHeight="1" s="24">
      <c r="A144" s="6" t="n"/>
      <c r="B144" s="6" t="n"/>
    </row>
    <row r="145" ht="14.25" customHeight="1" s="24">
      <c r="A145" s="6" t="n"/>
      <c r="B145" s="6" t="n"/>
    </row>
    <row r="146" ht="14.25" customHeight="1" s="24">
      <c r="A146" s="6" t="n"/>
      <c r="B146" s="6" t="n"/>
    </row>
    <row r="147" ht="14.25" customHeight="1" s="24">
      <c r="A147" s="6" t="n"/>
      <c r="B147" s="6" t="n"/>
    </row>
    <row r="148" ht="14.25" customHeight="1" s="24">
      <c r="A148" s="6" t="n"/>
      <c r="B148" s="6" t="n"/>
    </row>
    <row r="149" ht="14.25" customHeight="1" s="24">
      <c r="A149" s="6" t="n"/>
      <c r="B149" s="6" t="n"/>
    </row>
    <row r="150" ht="14.25" customHeight="1" s="24">
      <c r="A150" s="6" t="n"/>
      <c r="B150" s="6" t="n"/>
    </row>
    <row r="151" ht="14.25" customHeight="1" s="24">
      <c r="A151" s="6" t="n"/>
      <c r="B151" s="6" t="n"/>
    </row>
    <row r="152" ht="14.25" customHeight="1" s="24">
      <c r="A152" s="6" t="n"/>
      <c r="B152" s="6" t="n"/>
    </row>
    <row r="153" ht="14.25" customHeight="1" s="24">
      <c r="A153" s="6" t="n"/>
      <c r="B153" s="6" t="n"/>
    </row>
    <row r="154" ht="14.25" customHeight="1" s="24">
      <c r="A154" s="6" t="n"/>
      <c r="B154" s="6" t="n"/>
    </row>
    <row r="155" ht="14.25" customHeight="1" s="24">
      <c r="A155" s="6" t="n"/>
      <c r="B155" s="6" t="n"/>
    </row>
    <row r="156" ht="14.25" customHeight="1" s="24">
      <c r="A156" s="6" t="n"/>
      <c r="B156" s="6" t="n"/>
    </row>
    <row r="157" ht="14.25" customHeight="1" s="24">
      <c r="A157" s="6" t="n"/>
      <c r="B157" s="6" t="n"/>
    </row>
    <row r="158" ht="14.25" customHeight="1" s="24">
      <c r="A158" s="6" t="n"/>
      <c r="B158" s="6" t="n"/>
    </row>
    <row r="159" ht="14.25" customHeight="1" s="24">
      <c r="A159" s="6" t="n"/>
      <c r="B159" s="6" t="n"/>
    </row>
    <row r="160" ht="14.25" customHeight="1" s="24">
      <c r="A160" s="6" t="n"/>
      <c r="B160" s="6" t="n"/>
    </row>
    <row r="161" ht="14.25" customHeight="1" s="24">
      <c r="A161" s="6" t="n"/>
      <c r="B161" s="6" t="n"/>
    </row>
    <row r="162" ht="14.25" customHeight="1" s="24">
      <c r="A162" s="6" t="n"/>
      <c r="B162" s="6" t="n"/>
    </row>
    <row r="163" ht="14.25" customHeight="1" s="24">
      <c r="A163" s="6" t="n"/>
      <c r="B163" s="6" t="n"/>
    </row>
    <row r="164" ht="14.25" customHeight="1" s="24">
      <c r="A164" s="6" t="n"/>
      <c r="B164" s="6" t="n"/>
    </row>
    <row r="165" ht="14.25" customHeight="1" s="24">
      <c r="A165" s="6" t="n"/>
      <c r="B165" s="6" t="n"/>
    </row>
    <row r="166" ht="14.25" customHeight="1" s="24">
      <c r="A166" s="6" t="n"/>
      <c r="B166" s="6" t="n"/>
    </row>
    <row r="167" ht="14.25" customHeight="1" s="24">
      <c r="A167" s="6" t="n"/>
      <c r="B167" s="6" t="n"/>
    </row>
    <row r="168" ht="14.25" customHeight="1" s="24">
      <c r="A168" s="6" t="n"/>
      <c r="B168" s="6" t="n"/>
    </row>
    <row r="169" ht="14.25" customHeight="1" s="24">
      <c r="A169" s="6" t="n"/>
      <c r="B169" s="6" t="n"/>
    </row>
    <row r="170" ht="14.25" customHeight="1" s="24">
      <c r="A170" s="6" t="n"/>
      <c r="B170" s="6" t="n"/>
    </row>
    <row r="171" ht="14.25" customHeight="1" s="24">
      <c r="A171" s="6" t="n"/>
      <c r="B171" s="6" t="n"/>
    </row>
    <row r="172" ht="14.25" customHeight="1" s="24">
      <c r="A172" s="6" t="n"/>
      <c r="B172" s="6" t="n"/>
    </row>
    <row r="173" ht="14.25" customHeight="1" s="24">
      <c r="A173" s="6" t="n"/>
      <c r="B173" s="6" t="n"/>
    </row>
    <row r="174" ht="14.25" customHeight="1" s="24">
      <c r="A174" s="6" t="n"/>
      <c r="B174" s="6" t="n"/>
    </row>
    <row r="175" ht="14.25" customHeight="1" s="24">
      <c r="A175" s="6" t="n"/>
      <c r="B175" s="6" t="n"/>
    </row>
    <row r="176" ht="14.25" customHeight="1" s="24">
      <c r="A176" s="6" t="n"/>
      <c r="B176" s="6" t="n"/>
    </row>
    <row r="177" ht="14.25" customHeight="1" s="24">
      <c r="A177" s="6" t="n"/>
      <c r="B177" s="6" t="n"/>
    </row>
    <row r="178" ht="14.25" customHeight="1" s="24">
      <c r="A178" s="6" t="n"/>
      <c r="B178" s="6" t="n"/>
    </row>
    <row r="179" ht="14.25" customHeight="1" s="24">
      <c r="A179" s="6" t="n"/>
      <c r="B179" s="6" t="n"/>
    </row>
    <row r="180" ht="14.25" customHeight="1" s="24">
      <c r="A180" s="6" t="n"/>
      <c r="B180" s="6" t="n"/>
    </row>
    <row r="181" ht="14.25" customHeight="1" s="24">
      <c r="A181" s="6" t="n"/>
      <c r="B181" s="6" t="n"/>
    </row>
    <row r="182" ht="14.25" customHeight="1" s="24">
      <c r="A182" s="6" t="n"/>
      <c r="B182" s="6" t="n"/>
    </row>
    <row r="183" ht="14.25" customHeight="1" s="24">
      <c r="A183" s="6" t="n"/>
      <c r="B183" s="6" t="n"/>
    </row>
    <row r="184" ht="14.25" customHeight="1" s="24">
      <c r="A184" s="6" t="n"/>
      <c r="B184" s="6" t="n"/>
    </row>
    <row r="185" ht="14.25" customHeight="1" s="24">
      <c r="A185" s="6" t="n"/>
      <c r="B185" s="6" t="n"/>
    </row>
    <row r="186" ht="14.25" customHeight="1" s="24">
      <c r="A186" s="6" t="n"/>
      <c r="B186" s="6" t="n"/>
    </row>
    <row r="187" ht="14.25" customHeight="1" s="24">
      <c r="A187" s="6" t="n"/>
      <c r="B187" s="6" t="n"/>
    </row>
    <row r="188" ht="14.25" customHeight="1" s="24">
      <c r="A188" s="6" t="n"/>
      <c r="B188" s="6" t="n"/>
    </row>
    <row r="189" ht="14.25" customHeight="1" s="24">
      <c r="A189" s="6" t="n"/>
      <c r="B189" s="6" t="n"/>
    </row>
    <row r="190" ht="14.25" customHeight="1" s="24">
      <c r="A190" s="6" t="n"/>
      <c r="B190" s="6" t="n"/>
    </row>
    <row r="191" ht="14.25" customHeight="1" s="24">
      <c r="A191" s="6" t="n"/>
      <c r="B191" s="6" t="n"/>
    </row>
    <row r="192" ht="14.25" customHeight="1" s="24">
      <c r="A192" s="6" t="n"/>
      <c r="B192" s="6" t="n"/>
    </row>
    <row r="193" ht="14.25" customHeight="1" s="24">
      <c r="A193" s="6" t="n"/>
      <c r="B193" s="6" t="n"/>
    </row>
    <row r="194" ht="14.25" customHeight="1" s="24">
      <c r="A194" s="6" t="n"/>
      <c r="B194" s="6" t="n"/>
    </row>
    <row r="195" ht="14.25" customHeight="1" s="24">
      <c r="A195" s="6" t="n"/>
      <c r="B195" s="6" t="n"/>
    </row>
    <row r="196" ht="14.25" customHeight="1" s="24">
      <c r="A196" s="6" t="n"/>
      <c r="B196" s="6" t="n"/>
    </row>
    <row r="197" ht="14.25" customHeight="1" s="24">
      <c r="A197" s="6" t="n"/>
      <c r="B197" s="6" t="n"/>
    </row>
    <row r="198" ht="14.25" customHeight="1" s="24">
      <c r="A198" s="6" t="n"/>
      <c r="B198" s="6" t="n"/>
    </row>
    <row r="199" ht="14.25" customHeight="1" s="24">
      <c r="A199" s="6" t="n"/>
      <c r="B199" s="6" t="n"/>
    </row>
    <row r="200" ht="14.25" customHeight="1" s="24">
      <c r="A200" s="6" t="n"/>
      <c r="B200" s="6" t="n"/>
    </row>
    <row r="201" ht="14.25" customHeight="1" s="24">
      <c r="A201" s="6" t="n"/>
      <c r="B201" s="6" t="n"/>
    </row>
    <row r="202" ht="14.25" customHeight="1" s="24">
      <c r="A202" s="6" t="n"/>
      <c r="B202" s="6" t="n"/>
    </row>
    <row r="203" ht="14.25" customHeight="1" s="24">
      <c r="A203" s="6" t="n"/>
      <c r="B203" s="6" t="n"/>
    </row>
    <row r="204" ht="14.25" customHeight="1" s="24">
      <c r="A204" s="6" t="n"/>
      <c r="B204" s="6" t="n"/>
    </row>
    <row r="205" ht="14.25" customHeight="1" s="24">
      <c r="A205" s="6" t="n"/>
      <c r="B205" s="6" t="n"/>
    </row>
    <row r="206" ht="14.25" customHeight="1" s="24">
      <c r="A206" s="6" t="n"/>
      <c r="B206" s="6" t="n"/>
    </row>
    <row r="207" ht="14.25" customHeight="1" s="24">
      <c r="A207" s="6" t="n"/>
      <c r="B207" s="6" t="n"/>
    </row>
    <row r="208" ht="14.25" customHeight="1" s="24">
      <c r="A208" s="6" t="n"/>
      <c r="B208" s="6" t="n"/>
    </row>
    <row r="209" ht="14.25" customHeight="1" s="24">
      <c r="A209" s="6" t="n"/>
      <c r="B209" s="6" t="n"/>
    </row>
    <row r="210" ht="14.25" customHeight="1" s="24">
      <c r="A210" s="6" t="n"/>
      <c r="B210" s="6" t="n"/>
    </row>
    <row r="211" ht="14.25" customHeight="1" s="24">
      <c r="A211" s="6" t="n"/>
      <c r="B211" s="6" t="n"/>
    </row>
    <row r="212" ht="14.25" customHeight="1" s="24">
      <c r="A212" s="6" t="n"/>
      <c r="B212" s="6" t="n"/>
    </row>
    <row r="213" ht="14.25" customHeight="1" s="24">
      <c r="A213" s="6" t="n"/>
      <c r="B213" s="6" t="n"/>
    </row>
    <row r="214" ht="14.25" customHeight="1" s="24">
      <c r="A214" s="6" t="n"/>
      <c r="B214" s="6" t="n"/>
    </row>
    <row r="215" ht="14.25" customHeight="1" s="24">
      <c r="A215" s="6" t="n"/>
      <c r="B215" s="6" t="n"/>
    </row>
    <row r="216" ht="14.25" customHeight="1" s="24">
      <c r="A216" s="6" t="n"/>
      <c r="B216" s="6" t="n"/>
    </row>
    <row r="217" ht="14.25" customHeight="1" s="24">
      <c r="A217" s="6" t="n"/>
      <c r="B217" s="6" t="n"/>
    </row>
    <row r="218" ht="14.25" customHeight="1" s="24">
      <c r="A218" s="6" t="n"/>
      <c r="B218" s="6" t="n"/>
    </row>
    <row r="219" ht="14.25" customHeight="1" s="24">
      <c r="A219" s="6" t="n"/>
      <c r="B219" s="6" t="n"/>
    </row>
    <row r="220" ht="14.25" customHeight="1" s="24">
      <c r="A220" s="6" t="n"/>
      <c r="B220" s="6" t="n"/>
    </row>
    <row r="221" ht="14.25" customHeight="1" s="24">
      <c r="A221" s="6" t="n"/>
      <c r="B221" s="6" t="n"/>
    </row>
    <row r="222" ht="14.25" customHeight="1" s="24">
      <c r="A222" s="6" t="n"/>
      <c r="B222" s="6" t="n"/>
    </row>
    <row r="223" ht="14.25" customHeight="1" s="24">
      <c r="A223" s="6" t="n"/>
      <c r="B223" s="6" t="n"/>
    </row>
    <row r="224" ht="14.25" customHeight="1" s="24">
      <c r="A224" s="6" t="n"/>
      <c r="B224" s="6" t="n"/>
    </row>
    <row r="225" ht="14.25" customHeight="1" s="24">
      <c r="A225" s="6" t="n"/>
      <c r="B225" s="6" t="n"/>
    </row>
    <row r="226" ht="14.25" customHeight="1" s="24">
      <c r="A226" s="6" t="n"/>
      <c r="B226" s="6" t="n"/>
    </row>
    <row r="227" ht="14.25" customHeight="1" s="24">
      <c r="A227" s="6" t="n"/>
      <c r="B227" s="6" t="n"/>
    </row>
    <row r="228" ht="14.25" customHeight="1" s="24">
      <c r="A228" s="6" t="n"/>
      <c r="B228" s="6" t="n"/>
    </row>
    <row r="229" ht="14.25" customHeight="1" s="24">
      <c r="A229" s="6" t="n"/>
      <c r="B229" s="6" t="n"/>
    </row>
    <row r="230" ht="14.25" customHeight="1" s="24">
      <c r="A230" s="6" t="n"/>
      <c r="B230" s="6" t="n"/>
    </row>
    <row r="231" ht="14.25" customHeight="1" s="24">
      <c r="A231" s="6" t="n"/>
      <c r="B231" s="6" t="n"/>
    </row>
    <row r="232" ht="14.25" customHeight="1" s="24">
      <c r="A232" s="6" t="n"/>
      <c r="B232" s="6" t="n"/>
    </row>
    <row r="233" ht="14.25" customHeight="1" s="24">
      <c r="A233" s="6" t="n"/>
      <c r="B233" s="6" t="n"/>
    </row>
    <row r="234" ht="14.25" customHeight="1" s="24">
      <c r="A234" s="6" t="n"/>
      <c r="B234" s="6" t="n"/>
    </row>
    <row r="235" ht="14.25" customHeight="1" s="24">
      <c r="A235" s="6" t="n"/>
      <c r="B235" s="6" t="n"/>
    </row>
    <row r="236" ht="14.25" customHeight="1" s="24">
      <c r="A236" s="6" t="n"/>
      <c r="B236" s="6" t="n"/>
    </row>
    <row r="237" ht="14.25" customHeight="1" s="24">
      <c r="A237" s="6" t="n"/>
      <c r="B237" s="6" t="n"/>
    </row>
    <row r="238" ht="14.25" customHeight="1" s="24">
      <c r="A238" s="6" t="n"/>
      <c r="B238" s="6" t="n"/>
    </row>
    <row r="239" ht="14.25" customHeight="1" s="24">
      <c r="A239" s="6" t="n"/>
      <c r="B239" s="6" t="n"/>
    </row>
    <row r="240" ht="14.25" customHeight="1" s="24">
      <c r="A240" s="6" t="n"/>
      <c r="B240" s="6" t="n"/>
    </row>
    <row r="241" ht="14.25" customHeight="1" s="24">
      <c r="A241" s="6" t="n"/>
      <c r="B241" s="6" t="n"/>
    </row>
    <row r="242" ht="14.25" customHeight="1" s="24">
      <c r="A242" s="6" t="n"/>
      <c r="B242" s="6" t="n"/>
    </row>
    <row r="243" ht="14.25" customHeight="1" s="24">
      <c r="A243" s="6" t="n"/>
      <c r="B243" s="6" t="n"/>
    </row>
    <row r="244" ht="14.25" customHeight="1" s="24">
      <c r="A244" s="6" t="n"/>
      <c r="B244" s="6" t="n"/>
    </row>
    <row r="245" ht="14.25" customHeight="1" s="24">
      <c r="A245" s="6" t="n"/>
      <c r="B245" s="6" t="n"/>
    </row>
    <row r="246" ht="14.25" customHeight="1" s="24">
      <c r="A246" s="6" t="n"/>
      <c r="B246" s="6" t="n"/>
    </row>
    <row r="247" ht="14.25" customHeight="1" s="24">
      <c r="A247" s="6" t="n"/>
      <c r="B247" s="6" t="n"/>
    </row>
    <row r="248" ht="14.25" customHeight="1" s="24">
      <c r="A248" s="6" t="n"/>
      <c r="B248" s="6" t="n"/>
    </row>
    <row r="249" ht="14.25" customHeight="1" s="24">
      <c r="A249" s="6" t="n"/>
      <c r="B249" s="6" t="n"/>
    </row>
    <row r="250" ht="14.25" customHeight="1" s="24">
      <c r="A250" s="6" t="n"/>
      <c r="B250" s="6" t="n"/>
    </row>
    <row r="251" ht="14.25" customHeight="1" s="24">
      <c r="A251" s="6" t="n"/>
      <c r="B251" s="6" t="n"/>
    </row>
    <row r="252" ht="14.25" customHeight="1" s="24">
      <c r="A252" s="6" t="n"/>
      <c r="B252" s="6" t="n"/>
    </row>
    <row r="253" ht="14.25" customHeight="1" s="24">
      <c r="A253" s="6" t="n"/>
      <c r="B253" s="6" t="n"/>
    </row>
    <row r="254" ht="14.25" customHeight="1" s="24">
      <c r="A254" s="6" t="n"/>
      <c r="B254" s="6" t="n"/>
    </row>
    <row r="255" ht="14.25" customHeight="1" s="24">
      <c r="A255" s="6" t="n"/>
      <c r="B255" s="6" t="n"/>
    </row>
    <row r="256" ht="14.25" customHeight="1" s="24">
      <c r="A256" s="6" t="n"/>
      <c r="B256" s="6" t="n"/>
    </row>
    <row r="257" ht="14.25" customHeight="1" s="24">
      <c r="A257" s="6" t="n"/>
      <c r="B257" s="6" t="n"/>
    </row>
    <row r="258" ht="14.25" customHeight="1" s="24">
      <c r="A258" s="6" t="n"/>
      <c r="B258" s="6" t="n"/>
    </row>
    <row r="259" ht="14.25" customHeight="1" s="24">
      <c r="A259" s="6" t="n"/>
      <c r="B259" s="6" t="n"/>
    </row>
    <row r="260" ht="14.25" customHeight="1" s="24">
      <c r="A260" s="6" t="n"/>
      <c r="B260" s="6" t="n"/>
    </row>
    <row r="261" ht="14.25" customHeight="1" s="24">
      <c r="A261" s="6" t="n"/>
      <c r="B261" s="6" t="n"/>
    </row>
    <row r="262" ht="14.25" customHeight="1" s="24">
      <c r="A262" s="6" t="n"/>
      <c r="B262" s="6" t="n"/>
    </row>
    <row r="263" ht="14.25" customHeight="1" s="24">
      <c r="A263" s="6" t="n"/>
      <c r="B263" s="6" t="n"/>
    </row>
    <row r="264" ht="14.25" customHeight="1" s="24">
      <c r="A264" s="6" t="n"/>
      <c r="B264" s="6" t="n"/>
    </row>
    <row r="265" ht="14.25" customHeight="1" s="24">
      <c r="A265" s="6" t="n"/>
      <c r="B265" s="6" t="n"/>
    </row>
    <row r="266" ht="14.25" customHeight="1" s="24">
      <c r="A266" s="6" t="n"/>
      <c r="B266" s="6" t="n"/>
    </row>
    <row r="267" ht="14.25" customHeight="1" s="24">
      <c r="A267" s="6" t="n"/>
      <c r="B267" s="6" t="n"/>
    </row>
    <row r="268" ht="14.25" customHeight="1" s="24">
      <c r="A268" s="6" t="n"/>
      <c r="B268" s="6" t="n"/>
    </row>
    <row r="269" ht="14.25" customHeight="1" s="24">
      <c r="A269" s="6" t="n"/>
      <c r="B269" s="6" t="n"/>
    </row>
    <row r="270" ht="14.25" customHeight="1" s="24">
      <c r="A270" s="6" t="n"/>
      <c r="B270" s="6" t="n"/>
    </row>
    <row r="271" ht="14.25" customHeight="1" s="24">
      <c r="A271" s="6" t="n"/>
      <c r="B271" s="6" t="n"/>
    </row>
    <row r="272" ht="14.25" customHeight="1" s="24">
      <c r="A272" s="6" t="n"/>
      <c r="B272" s="6" t="n"/>
    </row>
    <row r="273" ht="14.25" customHeight="1" s="24">
      <c r="A273" s="6" t="n"/>
      <c r="B273" s="6" t="n"/>
    </row>
    <row r="274" ht="14.25" customHeight="1" s="24">
      <c r="A274" s="6" t="n"/>
      <c r="B274" s="6" t="n"/>
    </row>
    <row r="275" ht="14.25" customHeight="1" s="24">
      <c r="A275" s="6" t="n"/>
      <c r="B275" s="6" t="n"/>
    </row>
    <row r="276" ht="14.25" customHeight="1" s="24">
      <c r="A276" s="6" t="n"/>
      <c r="B276" s="6" t="n"/>
    </row>
    <row r="277" ht="14.25" customHeight="1" s="24">
      <c r="A277" s="6" t="n"/>
      <c r="B277" s="6" t="n"/>
    </row>
    <row r="278" ht="14.25" customHeight="1" s="24">
      <c r="A278" s="6" t="n"/>
      <c r="B278" s="6" t="n"/>
    </row>
    <row r="279" ht="14.25" customHeight="1" s="24">
      <c r="A279" s="6" t="n"/>
      <c r="B279" s="6" t="n"/>
    </row>
    <row r="280" ht="14.25" customHeight="1" s="24">
      <c r="A280" s="6" t="n"/>
      <c r="B280" s="6" t="n"/>
    </row>
    <row r="281" ht="14.25" customHeight="1" s="24">
      <c r="A281" s="6" t="n"/>
      <c r="B281" s="6" t="n"/>
    </row>
    <row r="282" ht="14.25" customHeight="1" s="24">
      <c r="A282" s="6" t="n"/>
      <c r="B282" s="6" t="n"/>
    </row>
    <row r="283" ht="14.25" customHeight="1" s="24">
      <c r="A283" s="6" t="n"/>
      <c r="B283" s="6" t="n"/>
    </row>
    <row r="284" ht="14.25" customHeight="1" s="24">
      <c r="A284" s="6" t="n"/>
      <c r="B284" s="6" t="n"/>
    </row>
    <row r="285" ht="14.25" customHeight="1" s="24">
      <c r="A285" s="6" t="n"/>
      <c r="B285" s="6" t="n"/>
    </row>
    <row r="286" ht="14.25" customHeight="1" s="24">
      <c r="A286" s="6" t="n"/>
      <c r="B286" s="6" t="n"/>
    </row>
    <row r="287" ht="14.25" customHeight="1" s="24">
      <c r="A287" s="6" t="n"/>
      <c r="B287" s="6" t="n"/>
    </row>
    <row r="288" ht="14.25" customHeight="1" s="24">
      <c r="A288" s="6" t="n"/>
      <c r="B288" s="6" t="n"/>
    </row>
    <row r="289" ht="14.25" customHeight="1" s="24">
      <c r="A289" s="6" t="n"/>
      <c r="B289" s="6" t="n"/>
    </row>
    <row r="290" ht="14.25" customHeight="1" s="24">
      <c r="A290" s="6" t="n"/>
      <c r="B290" s="6" t="n"/>
    </row>
    <row r="291" ht="14.25" customHeight="1" s="24">
      <c r="A291" s="6" t="n"/>
      <c r="B291" s="6" t="n"/>
    </row>
    <row r="292" ht="14.25" customHeight="1" s="24">
      <c r="A292" s="6" t="n"/>
      <c r="B292" s="6" t="n"/>
    </row>
    <row r="293" ht="14.25" customHeight="1" s="24">
      <c r="A293" s="6" t="n"/>
      <c r="B293" s="6" t="n"/>
    </row>
    <row r="294" ht="14.25" customHeight="1" s="24">
      <c r="A294" s="6" t="n"/>
      <c r="B294" s="6" t="n"/>
    </row>
    <row r="295" ht="14.25" customHeight="1" s="24">
      <c r="A295" s="6" t="n"/>
      <c r="B295" s="6" t="n"/>
    </row>
    <row r="296" ht="14.25" customHeight="1" s="24">
      <c r="A296" s="6" t="n"/>
      <c r="B296" s="6" t="n"/>
    </row>
    <row r="297" ht="14.25" customHeight="1" s="24">
      <c r="A297" s="6" t="n"/>
      <c r="B297" s="6" t="n"/>
    </row>
    <row r="298" ht="14.25" customHeight="1" s="24">
      <c r="A298" s="6" t="n"/>
      <c r="B298" s="6" t="n"/>
    </row>
    <row r="299" ht="14.25" customHeight="1" s="24">
      <c r="A299" s="6" t="n"/>
      <c r="B299" s="6" t="n"/>
    </row>
    <row r="300" ht="14.25" customHeight="1" s="24">
      <c r="A300" s="6" t="n"/>
      <c r="B300" s="6" t="n"/>
    </row>
    <row r="301" ht="14.25" customHeight="1" s="24">
      <c r="A301" s="6" t="n"/>
      <c r="B301" s="6" t="n"/>
    </row>
    <row r="302" ht="14.25" customHeight="1" s="24">
      <c r="A302" s="6" t="n"/>
      <c r="B302" s="6" t="n"/>
    </row>
    <row r="303" ht="14.25" customHeight="1" s="24">
      <c r="A303" s="6" t="n"/>
      <c r="B303" s="6" t="n"/>
    </row>
    <row r="304" ht="14.25" customHeight="1" s="24">
      <c r="A304" s="6" t="n"/>
      <c r="B304" s="6" t="n"/>
    </row>
    <row r="305" ht="14.25" customHeight="1" s="24">
      <c r="A305" s="6" t="n"/>
      <c r="B305" s="6" t="n"/>
    </row>
    <row r="306" ht="14.25" customHeight="1" s="24">
      <c r="A306" s="6" t="n"/>
      <c r="B306" s="6" t="n"/>
    </row>
    <row r="307" ht="14.25" customHeight="1" s="24">
      <c r="A307" s="6" t="n"/>
      <c r="B307" s="6" t="n"/>
    </row>
    <row r="308" ht="14.25" customHeight="1" s="24">
      <c r="A308" s="6" t="n"/>
      <c r="B308" s="6" t="n"/>
    </row>
    <row r="309" ht="14.25" customHeight="1" s="24">
      <c r="A309" s="6" t="n"/>
      <c r="B309" s="6" t="n"/>
    </row>
    <row r="310" ht="14.25" customHeight="1" s="24">
      <c r="A310" s="6" t="n"/>
      <c r="B310" s="6" t="n"/>
    </row>
    <row r="311" ht="14.25" customHeight="1" s="24">
      <c r="A311" s="6" t="n"/>
      <c r="B311" s="6" t="n"/>
    </row>
    <row r="312" ht="14.25" customHeight="1" s="24">
      <c r="A312" s="6" t="n"/>
      <c r="B312" s="6" t="n"/>
    </row>
    <row r="313" ht="14.25" customHeight="1" s="24">
      <c r="A313" s="6" t="n"/>
      <c r="B313" s="6" t="n"/>
    </row>
    <row r="314" ht="14.25" customHeight="1" s="24">
      <c r="A314" s="6" t="n"/>
      <c r="B314" s="6" t="n"/>
    </row>
    <row r="315" ht="14.25" customHeight="1" s="24">
      <c r="A315" s="6" t="n"/>
      <c r="B315" s="6" t="n"/>
    </row>
    <row r="316" ht="14.25" customHeight="1" s="24">
      <c r="A316" s="6" t="n"/>
      <c r="B316" s="6" t="n"/>
    </row>
    <row r="317" ht="14.25" customHeight="1" s="24">
      <c r="A317" s="6" t="n"/>
      <c r="B317" s="6" t="n"/>
    </row>
    <row r="318" ht="14.25" customHeight="1" s="24">
      <c r="A318" s="6" t="n"/>
      <c r="B318" s="6" t="n"/>
    </row>
    <row r="319" ht="14.25" customHeight="1" s="24">
      <c r="A319" s="6" t="n"/>
      <c r="B319" s="6" t="n"/>
    </row>
    <row r="320" ht="14.25" customHeight="1" s="24">
      <c r="A320" s="6" t="n"/>
      <c r="B320" s="6" t="n"/>
    </row>
    <row r="321" ht="14.25" customHeight="1" s="24">
      <c r="A321" s="6" t="n"/>
      <c r="B321" s="6" t="n"/>
    </row>
    <row r="322" ht="14.25" customHeight="1" s="24">
      <c r="A322" s="6" t="n"/>
      <c r="B322" s="6" t="n"/>
    </row>
    <row r="323" ht="14.25" customHeight="1" s="24">
      <c r="A323" s="6" t="n"/>
      <c r="B323" s="6" t="n"/>
    </row>
    <row r="324" ht="14.25" customHeight="1" s="24">
      <c r="A324" s="6" t="n"/>
      <c r="B324" s="6" t="n"/>
    </row>
    <row r="325" ht="14.25" customHeight="1" s="24">
      <c r="A325" s="6" t="n"/>
      <c r="B325" s="6" t="n"/>
    </row>
    <row r="326" ht="14.25" customHeight="1" s="24">
      <c r="A326" s="6" t="n"/>
      <c r="B326" s="6" t="n"/>
    </row>
    <row r="327" ht="14.25" customHeight="1" s="24">
      <c r="A327" s="6" t="n"/>
      <c r="B327" s="6" t="n"/>
    </row>
    <row r="328" ht="14.25" customHeight="1" s="24">
      <c r="A328" s="6" t="n"/>
      <c r="B328" s="6" t="n"/>
    </row>
    <row r="329" ht="14.25" customHeight="1" s="24">
      <c r="A329" s="6" t="n"/>
      <c r="B329" s="6" t="n"/>
    </row>
    <row r="330" ht="14.25" customHeight="1" s="24">
      <c r="A330" s="6" t="n"/>
      <c r="B330" s="6" t="n"/>
    </row>
    <row r="331" ht="14.25" customHeight="1" s="24">
      <c r="A331" s="6" t="n"/>
      <c r="B331" s="6" t="n"/>
    </row>
    <row r="332" ht="14.25" customHeight="1" s="24">
      <c r="A332" s="6" t="n"/>
      <c r="B332" s="6" t="n"/>
    </row>
    <row r="333" ht="14.25" customHeight="1" s="24">
      <c r="A333" s="6" t="n"/>
      <c r="B333" s="6" t="n"/>
    </row>
    <row r="334" ht="14.25" customHeight="1" s="24">
      <c r="A334" s="6" t="n"/>
      <c r="B334" s="6" t="n"/>
    </row>
    <row r="335" ht="14.25" customHeight="1" s="24">
      <c r="A335" s="6" t="n"/>
      <c r="B335" s="6" t="n"/>
    </row>
    <row r="336" ht="14.25" customHeight="1" s="24">
      <c r="A336" s="6" t="n"/>
      <c r="B336" s="6" t="n"/>
    </row>
    <row r="337" ht="14.25" customHeight="1" s="24">
      <c r="A337" s="6" t="n"/>
      <c r="B337" s="6" t="n"/>
    </row>
    <row r="338" ht="14.25" customHeight="1" s="24">
      <c r="A338" s="6" t="n"/>
      <c r="B338" s="6" t="n"/>
    </row>
    <row r="339" ht="14.25" customHeight="1" s="24">
      <c r="A339" s="6" t="n"/>
      <c r="B339" s="6" t="n"/>
    </row>
    <row r="340" ht="14.25" customHeight="1" s="24">
      <c r="A340" s="6" t="n"/>
      <c r="B340" s="6" t="n"/>
    </row>
    <row r="341" ht="14.25" customHeight="1" s="24">
      <c r="A341" s="6" t="n"/>
      <c r="B341" s="6" t="n"/>
    </row>
    <row r="342" ht="14.25" customHeight="1" s="24">
      <c r="A342" s="6" t="n"/>
      <c r="B342" s="6" t="n"/>
    </row>
    <row r="343" ht="14.25" customHeight="1" s="24">
      <c r="A343" s="6" t="n"/>
      <c r="B343" s="6" t="n"/>
    </row>
    <row r="344" ht="14.25" customHeight="1" s="24">
      <c r="A344" s="6" t="n"/>
      <c r="B344" s="6" t="n"/>
    </row>
    <row r="345" ht="14.25" customHeight="1" s="24">
      <c r="A345" s="6" t="n"/>
      <c r="B345" s="6" t="n"/>
    </row>
    <row r="346" ht="14.25" customHeight="1" s="24">
      <c r="A346" s="6" t="n"/>
      <c r="B346" s="6" t="n"/>
    </row>
    <row r="347" ht="14.25" customHeight="1" s="24">
      <c r="A347" s="6" t="n"/>
      <c r="B347" s="6" t="n"/>
    </row>
    <row r="348" ht="14.25" customHeight="1" s="24">
      <c r="A348" s="6" t="n"/>
      <c r="B348" s="6" t="n"/>
    </row>
    <row r="349" ht="14.25" customHeight="1" s="24">
      <c r="A349" s="6" t="n"/>
      <c r="B349" s="6" t="n"/>
    </row>
    <row r="350" ht="14.25" customHeight="1" s="24">
      <c r="A350" s="6" t="n"/>
      <c r="B350" s="6" t="n"/>
    </row>
    <row r="351" ht="14.25" customHeight="1" s="24">
      <c r="A351" s="6" t="n"/>
      <c r="B351" s="6" t="n"/>
    </row>
    <row r="352" ht="14.25" customHeight="1" s="24">
      <c r="A352" s="6" t="n"/>
      <c r="B352" s="6" t="n"/>
    </row>
    <row r="353" ht="14.25" customHeight="1" s="24">
      <c r="A353" s="6" t="n"/>
      <c r="B353" s="6" t="n"/>
    </row>
    <row r="354" ht="14.25" customHeight="1" s="24">
      <c r="A354" s="6" t="n"/>
      <c r="B354" s="6" t="n"/>
    </row>
    <row r="355" ht="14.25" customHeight="1" s="24">
      <c r="A355" s="6" t="n"/>
      <c r="B355" s="6" t="n"/>
    </row>
    <row r="356" ht="14.25" customHeight="1" s="24">
      <c r="A356" s="6" t="n"/>
      <c r="B356" s="6" t="n"/>
    </row>
    <row r="357" ht="14.25" customHeight="1" s="24">
      <c r="A357" s="6" t="n"/>
      <c r="B357" s="6" t="n"/>
    </row>
    <row r="358" ht="14.25" customHeight="1" s="24">
      <c r="A358" s="6" t="n"/>
      <c r="B358" s="6" t="n"/>
    </row>
    <row r="359" ht="14.25" customHeight="1" s="24">
      <c r="A359" s="6" t="n"/>
      <c r="B359" s="6" t="n"/>
    </row>
    <row r="360" ht="14.25" customHeight="1" s="24">
      <c r="A360" s="6" t="n"/>
      <c r="B360" s="6" t="n"/>
    </row>
    <row r="361" ht="14.25" customHeight="1" s="24">
      <c r="A361" s="6" t="n"/>
      <c r="B361" s="6" t="n"/>
    </row>
    <row r="362" ht="14.25" customHeight="1" s="24">
      <c r="A362" s="6" t="n"/>
      <c r="B362" s="6" t="n"/>
    </row>
    <row r="363" ht="14.25" customHeight="1" s="24">
      <c r="A363" s="6" t="n"/>
      <c r="B363" s="6" t="n"/>
    </row>
    <row r="364" ht="14.25" customHeight="1" s="24">
      <c r="A364" s="6" t="n"/>
      <c r="B364" s="6" t="n"/>
    </row>
    <row r="365" ht="14.25" customHeight="1" s="24">
      <c r="A365" s="6" t="n"/>
      <c r="B365" s="6" t="n"/>
    </row>
    <row r="366" ht="14.25" customHeight="1" s="24">
      <c r="A366" s="6" t="n"/>
      <c r="B366" s="6" t="n"/>
    </row>
    <row r="367" ht="14.25" customHeight="1" s="24">
      <c r="A367" s="6" t="n"/>
      <c r="B367" s="6" t="n"/>
    </row>
    <row r="368" ht="14.25" customHeight="1" s="24">
      <c r="A368" s="6" t="n"/>
      <c r="B368" s="6" t="n"/>
    </row>
    <row r="369" ht="14.25" customHeight="1" s="24">
      <c r="A369" s="6" t="n"/>
      <c r="B369" s="6" t="n"/>
    </row>
    <row r="370" ht="14.25" customHeight="1" s="24">
      <c r="A370" s="6" t="n"/>
      <c r="B370" s="6" t="n"/>
    </row>
    <row r="371" ht="14.25" customHeight="1" s="24">
      <c r="A371" s="6" t="n"/>
      <c r="B371" s="6" t="n"/>
    </row>
    <row r="372" ht="14.25" customHeight="1" s="24">
      <c r="A372" s="6" t="n"/>
      <c r="B372" s="6" t="n"/>
    </row>
    <row r="373" ht="14.25" customHeight="1" s="24">
      <c r="A373" s="6" t="n"/>
      <c r="B373" s="6" t="n"/>
    </row>
    <row r="374" ht="14.25" customHeight="1" s="24">
      <c r="A374" s="6" t="n"/>
      <c r="B374" s="6" t="n"/>
    </row>
    <row r="375" ht="14.25" customHeight="1" s="24">
      <c r="A375" s="6" t="n"/>
      <c r="B375" s="6" t="n"/>
    </row>
    <row r="376" ht="14.25" customHeight="1" s="24">
      <c r="A376" s="6" t="n"/>
      <c r="B376" s="6" t="n"/>
    </row>
    <row r="377" ht="14.25" customHeight="1" s="24">
      <c r="A377" s="6" t="n"/>
      <c r="B377" s="6" t="n"/>
    </row>
    <row r="378" ht="14.25" customHeight="1" s="24">
      <c r="A378" s="6" t="n"/>
      <c r="B378" s="6" t="n"/>
    </row>
    <row r="379" ht="14.25" customHeight="1" s="24">
      <c r="A379" s="6" t="n"/>
      <c r="B379" s="6" t="n"/>
    </row>
    <row r="380" ht="14.25" customHeight="1" s="24">
      <c r="A380" s="6" t="n"/>
      <c r="B380" s="6" t="n"/>
    </row>
    <row r="381" ht="14.25" customHeight="1" s="24">
      <c r="A381" s="6" t="n"/>
      <c r="B381" s="6" t="n"/>
    </row>
    <row r="382" ht="14.25" customHeight="1" s="24">
      <c r="A382" s="6" t="n"/>
      <c r="B382" s="6" t="n"/>
    </row>
    <row r="383" ht="14.25" customHeight="1" s="24">
      <c r="A383" s="6" t="n"/>
      <c r="B383" s="6" t="n"/>
    </row>
    <row r="384" ht="14.25" customHeight="1" s="24">
      <c r="A384" s="6" t="n"/>
      <c r="B384" s="6" t="n"/>
    </row>
    <row r="385" ht="14.25" customHeight="1" s="24">
      <c r="A385" s="6" t="n"/>
      <c r="B385" s="6" t="n"/>
    </row>
    <row r="386" ht="14.25" customHeight="1" s="24">
      <c r="A386" s="6" t="n"/>
      <c r="B386" s="6" t="n"/>
    </row>
    <row r="387" ht="14.25" customHeight="1" s="24">
      <c r="A387" s="6" t="n"/>
      <c r="B387" s="6" t="n"/>
    </row>
    <row r="388" ht="14.25" customHeight="1" s="24">
      <c r="A388" s="6" t="n"/>
      <c r="B388" s="6" t="n"/>
    </row>
    <row r="389" ht="14.25" customHeight="1" s="24">
      <c r="A389" s="6" t="n"/>
      <c r="B389" s="6" t="n"/>
    </row>
    <row r="390" ht="14.25" customHeight="1" s="24">
      <c r="A390" s="6" t="n"/>
      <c r="B390" s="6" t="n"/>
    </row>
    <row r="391" ht="14.25" customHeight="1" s="24">
      <c r="A391" s="6" t="n"/>
      <c r="B391" s="6" t="n"/>
    </row>
    <row r="392" ht="14.25" customHeight="1" s="24">
      <c r="A392" s="6" t="n"/>
      <c r="B392" s="6" t="n"/>
    </row>
    <row r="393" ht="14.25" customHeight="1" s="24">
      <c r="A393" s="6" t="n"/>
      <c r="B393" s="6" t="n"/>
    </row>
    <row r="394" ht="14.25" customHeight="1" s="24">
      <c r="A394" s="6" t="n"/>
      <c r="B394" s="6" t="n"/>
    </row>
    <row r="395" ht="14.25" customHeight="1" s="24">
      <c r="A395" s="6" t="n"/>
      <c r="B395" s="6" t="n"/>
    </row>
    <row r="396" ht="14.25" customHeight="1" s="24">
      <c r="A396" s="6" t="n"/>
      <c r="B396" s="6" t="n"/>
    </row>
    <row r="397" ht="14.25" customHeight="1" s="24">
      <c r="A397" s="6" t="n"/>
      <c r="B397" s="6" t="n"/>
    </row>
    <row r="398" ht="14.25" customHeight="1" s="24">
      <c r="A398" s="6" t="n"/>
      <c r="B398" s="6" t="n"/>
    </row>
    <row r="399" ht="14.25" customHeight="1" s="24">
      <c r="A399" s="6" t="n"/>
      <c r="B399" s="6" t="n"/>
    </row>
    <row r="400" ht="14.25" customHeight="1" s="24">
      <c r="A400" s="6" t="n"/>
      <c r="B400" s="6" t="n"/>
    </row>
    <row r="401" ht="14.25" customHeight="1" s="24">
      <c r="A401" s="6" t="n"/>
      <c r="B401" s="6" t="n"/>
    </row>
    <row r="402" ht="14.25" customHeight="1" s="24">
      <c r="A402" s="6" t="n"/>
      <c r="B402" s="6" t="n"/>
    </row>
    <row r="403" ht="14.25" customHeight="1" s="24">
      <c r="A403" s="6" t="n"/>
      <c r="B403" s="6" t="n"/>
    </row>
    <row r="404" ht="14.25" customHeight="1" s="24">
      <c r="A404" s="6" t="n"/>
      <c r="B404" s="6" t="n"/>
    </row>
    <row r="405" ht="14.25" customHeight="1" s="24">
      <c r="A405" s="6" t="n"/>
      <c r="B405" s="6" t="n"/>
    </row>
    <row r="406" ht="14.25" customHeight="1" s="24">
      <c r="A406" s="6" t="n"/>
      <c r="B406" s="6" t="n"/>
    </row>
    <row r="407" ht="14.25" customHeight="1" s="24">
      <c r="A407" s="6" t="n"/>
      <c r="B407" s="6" t="n"/>
    </row>
    <row r="408" ht="14.25" customHeight="1" s="24">
      <c r="A408" s="6" t="n"/>
      <c r="B408" s="6" t="n"/>
    </row>
    <row r="409" ht="14.25" customHeight="1" s="24">
      <c r="A409" s="6" t="n"/>
      <c r="B409" s="6" t="n"/>
    </row>
    <row r="410" ht="14.25" customHeight="1" s="24">
      <c r="A410" s="6" t="n"/>
      <c r="B410" s="6" t="n"/>
    </row>
    <row r="411" ht="14.25" customHeight="1" s="24">
      <c r="A411" s="6" t="n"/>
      <c r="B411" s="6" t="n"/>
    </row>
    <row r="412" ht="14.25" customHeight="1" s="24">
      <c r="A412" s="6" t="n"/>
      <c r="B412" s="6" t="n"/>
    </row>
    <row r="413" ht="14.25" customHeight="1" s="24">
      <c r="A413" s="6" t="n"/>
      <c r="B413" s="6" t="n"/>
    </row>
    <row r="414" ht="14.25" customHeight="1" s="24">
      <c r="A414" s="6" t="n"/>
      <c r="B414" s="6" t="n"/>
    </row>
    <row r="415" ht="14.25" customHeight="1" s="24">
      <c r="A415" s="6" t="n"/>
      <c r="B415" s="6" t="n"/>
    </row>
    <row r="416" ht="14.25" customHeight="1" s="24">
      <c r="A416" s="6" t="n"/>
      <c r="B416" s="6" t="n"/>
    </row>
    <row r="417" ht="14.25" customHeight="1" s="24">
      <c r="A417" s="6" t="n"/>
      <c r="B417" s="6" t="n"/>
    </row>
    <row r="418" ht="14.25" customHeight="1" s="24">
      <c r="A418" s="6" t="n"/>
      <c r="B418" s="6" t="n"/>
    </row>
    <row r="419" ht="14.25" customHeight="1" s="24">
      <c r="A419" s="6" t="n"/>
      <c r="B419" s="6" t="n"/>
    </row>
    <row r="420" ht="14.25" customHeight="1" s="24">
      <c r="A420" s="6" t="n"/>
      <c r="B420" s="6" t="n"/>
    </row>
    <row r="421" ht="14.25" customHeight="1" s="24">
      <c r="A421" s="6" t="n"/>
      <c r="B421" s="6" t="n"/>
    </row>
    <row r="422" ht="14.25" customHeight="1" s="24">
      <c r="A422" s="6" t="n"/>
      <c r="B422" s="6" t="n"/>
    </row>
    <row r="423" ht="14.25" customHeight="1" s="24">
      <c r="A423" s="6" t="n"/>
      <c r="B423" s="6" t="n"/>
    </row>
    <row r="424" ht="14.25" customHeight="1" s="24">
      <c r="A424" s="6" t="n"/>
      <c r="B424" s="6" t="n"/>
    </row>
    <row r="425" ht="14.25" customHeight="1" s="24">
      <c r="A425" s="6" t="n"/>
      <c r="B425" s="6" t="n"/>
    </row>
    <row r="426" ht="14.25" customHeight="1" s="24">
      <c r="A426" s="6" t="n"/>
      <c r="B426" s="6" t="n"/>
    </row>
    <row r="427" ht="14.25" customHeight="1" s="24">
      <c r="A427" s="6" t="n"/>
      <c r="B427" s="6" t="n"/>
    </row>
    <row r="428" ht="14.25" customHeight="1" s="24">
      <c r="A428" s="6" t="n"/>
      <c r="B428" s="6" t="n"/>
    </row>
    <row r="429" ht="14.25" customHeight="1" s="24">
      <c r="A429" s="6" t="n"/>
      <c r="B429" s="6" t="n"/>
    </row>
    <row r="430" ht="14.25" customHeight="1" s="24">
      <c r="A430" s="6" t="n"/>
      <c r="B430" s="6" t="n"/>
    </row>
    <row r="431" ht="14.25" customHeight="1" s="24">
      <c r="A431" s="6" t="n"/>
      <c r="B431" s="6" t="n"/>
    </row>
    <row r="432" ht="14.25" customHeight="1" s="24">
      <c r="A432" s="6" t="n"/>
      <c r="B432" s="6" t="n"/>
    </row>
    <row r="433" ht="14.25" customHeight="1" s="24">
      <c r="A433" s="6" t="n"/>
      <c r="B433" s="6" t="n"/>
    </row>
    <row r="434" ht="14.25" customHeight="1" s="24">
      <c r="A434" s="6" t="n"/>
      <c r="B434" s="6" t="n"/>
    </row>
    <row r="435" ht="14.25" customHeight="1" s="24">
      <c r="A435" s="6" t="n"/>
      <c r="B435" s="6" t="n"/>
    </row>
    <row r="436" ht="14.25" customHeight="1" s="24">
      <c r="A436" s="6" t="n"/>
      <c r="B436" s="6" t="n"/>
    </row>
    <row r="437" ht="14.25" customHeight="1" s="24">
      <c r="A437" s="6" t="n"/>
      <c r="B437" s="6" t="n"/>
    </row>
    <row r="438" ht="14.25" customHeight="1" s="24">
      <c r="A438" s="6" t="n"/>
      <c r="B438" s="6" t="n"/>
    </row>
    <row r="439" ht="14.25" customHeight="1" s="24">
      <c r="A439" s="6" t="n"/>
      <c r="B439" s="6" t="n"/>
    </row>
    <row r="440" ht="14.25" customHeight="1" s="24">
      <c r="A440" s="6" t="n"/>
      <c r="B440" s="6" t="n"/>
    </row>
    <row r="441" ht="14.25" customHeight="1" s="24">
      <c r="A441" s="6" t="n"/>
      <c r="B441" s="6" t="n"/>
    </row>
    <row r="442" ht="14.25" customHeight="1" s="24">
      <c r="A442" s="6" t="n"/>
      <c r="B442" s="6" t="n"/>
    </row>
    <row r="443" ht="14.25" customHeight="1" s="24">
      <c r="A443" s="6" t="n"/>
      <c r="B443" s="6" t="n"/>
    </row>
    <row r="444" ht="14.25" customHeight="1" s="24">
      <c r="A444" s="6" t="n"/>
      <c r="B444" s="6" t="n"/>
    </row>
    <row r="445" ht="14.25" customHeight="1" s="24">
      <c r="A445" s="6" t="n"/>
      <c r="B445" s="6" t="n"/>
    </row>
    <row r="446" ht="14.25" customHeight="1" s="24">
      <c r="A446" s="6" t="n"/>
      <c r="B446" s="6" t="n"/>
    </row>
    <row r="447" ht="14.25" customHeight="1" s="24">
      <c r="A447" s="6" t="n"/>
      <c r="B447" s="6" t="n"/>
    </row>
    <row r="448" ht="14.25" customHeight="1" s="24">
      <c r="A448" s="6" t="n"/>
      <c r="B448" s="6" t="n"/>
    </row>
    <row r="449" ht="14.25" customHeight="1" s="24">
      <c r="A449" s="6" t="n"/>
      <c r="B449" s="6" t="n"/>
    </row>
    <row r="450" ht="14.25" customHeight="1" s="24">
      <c r="A450" s="6" t="n"/>
      <c r="B450" s="6" t="n"/>
    </row>
    <row r="451" ht="14.25" customHeight="1" s="24">
      <c r="A451" s="6" t="n"/>
      <c r="B451" s="6" t="n"/>
    </row>
    <row r="452" ht="14.25" customHeight="1" s="24">
      <c r="A452" s="6" t="n"/>
      <c r="B452" s="6" t="n"/>
    </row>
    <row r="453" ht="14.25" customHeight="1" s="24">
      <c r="A453" s="6" t="n"/>
      <c r="B453" s="6" t="n"/>
    </row>
    <row r="454" ht="14.25" customHeight="1" s="24">
      <c r="A454" s="6" t="n"/>
      <c r="B454" s="6" t="n"/>
    </row>
    <row r="455" ht="14.25" customHeight="1" s="24">
      <c r="A455" s="6" t="n"/>
      <c r="B455" s="6" t="n"/>
    </row>
    <row r="456" ht="14.25" customHeight="1" s="24">
      <c r="A456" s="6" t="n"/>
      <c r="B456" s="6" t="n"/>
    </row>
    <row r="457" ht="14.25" customHeight="1" s="24">
      <c r="A457" s="6" t="n"/>
      <c r="B457" s="6" t="n"/>
    </row>
    <row r="458" ht="14.25" customHeight="1" s="24">
      <c r="A458" s="6" t="n"/>
      <c r="B458" s="6" t="n"/>
    </row>
    <row r="459" ht="14.25" customHeight="1" s="24">
      <c r="A459" s="6" t="n"/>
      <c r="B459" s="6" t="n"/>
    </row>
    <row r="460" ht="14.25" customHeight="1" s="24">
      <c r="A460" s="6" t="n"/>
      <c r="B460" s="6" t="n"/>
    </row>
    <row r="461" ht="14.25" customHeight="1" s="24">
      <c r="A461" s="6" t="n"/>
      <c r="B461" s="6" t="n"/>
    </row>
    <row r="462" ht="14.25" customHeight="1" s="24">
      <c r="A462" s="6" t="n"/>
      <c r="B462" s="6" t="n"/>
    </row>
    <row r="463" ht="14.25" customHeight="1" s="24">
      <c r="A463" s="6" t="n"/>
      <c r="B463" s="6" t="n"/>
    </row>
    <row r="464" ht="14.25" customHeight="1" s="24">
      <c r="A464" s="6" t="n"/>
      <c r="B464" s="6" t="n"/>
    </row>
    <row r="465" ht="14.25" customHeight="1" s="24">
      <c r="A465" s="6" t="n"/>
      <c r="B465" s="6" t="n"/>
    </row>
    <row r="466" ht="14.25" customHeight="1" s="24">
      <c r="A466" s="6" t="n"/>
      <c r="B466" s="6" t="n"/>
    </row>
    <row r="467" ht="14.25" customHeight="1" s="24">
      <c r="A467" s="6" t="n"/>
      <c r="B467" s="6" t="n"/>
    </row>
    <row r="468" ht="14.25" customHeight="1" s="24">
      <c r="A468" s="6" t="n"/>
      <c r="B468" s="6" t="n"/>
    </row>
    <row r="469" ht="14.25" customHeight="1" s="24">
      <c r="A469" s="6" t="n"/>
      <c r="B469" s="6" t="n"/>
    </row>
    <row r="470" ht="14.25" customHeight="1" s="24">
      <c r="A470" s="6" t="n"/>
      <c r="B470" s="6" t="n"/>
    </row>
    <row r="471" ht="14.25" customHeight="1" s="24">
      <c r="A471" s="6" t="n"/>
      <c r="B471" s="6" t="n"/>
    </row>
    <row r="472" ht="14.25" customHeight="1" s="24">
      <c r="A472" s="6" t="n"/>
      <c r="B472" s="6" t="n"/>
    </row>
    <row r="473" ht="14.25" customHeight="1" s="24">
      <c r="A473" s="6" t="n"/>
      <c r="B473" s="6" t="n"/>
    </row>
    <row r="474" ht="14.25" customHeight="1" s="24">
      <c r="A474" s="6" t="n"/>
      <c r="B474" s="6" t="n"/>
    </row>
    <row r="475" ht="14.25" customHeight="1" s="24">
      <c r="A475" s="6" t="n"/>
      <c r="B475" s="6" t="n"/>
    </row>
    <row r="476" ht="14.25" customHeight="1" s="24">
      <c r="A476" s="6" t="n"/>
      <c r="B476" s="6" t="n"/>
    </row>
    <row r="477" ht="14.25" customHeight="1" s="24">
      <c r="A477" s="6" t="n"/>
      <c r="B477" s="6" t="n"/>
    </row>
    <row r="478" ht="14.25" customHeight="1" s="24">
      <c r="A478" s="6" t="n"/>
      <c r="B478" s="6" t="n"/>
    </row>
    <row r="479" ht="14.25" customHeight="1" s="24">
      <c r="A479" s="6" t="n"/>
      <c r="B479" s="6" t="n"/>
    </row>
    <row r="480" ht="14.25" customHeight="1" s="24">
      <c r="A480" s="6" t="n"/>
      <c r="B480" s="6" t="n"/>
    </row>
    <row r="481" ht="14.25" customHeight="1" s="24">
      <c r="A481" s="6" t="n"/>
      <c r="B481" s="6" t="n"/>
    </row>
    <row r="482" ht="14.25" customHeight="1" s="24">
      <c r="A482" s="6" t="n"/>
      <c r="B482" s="6" t="n"/>
    </row>
    <row r="483" ht="14.25" customHeight="1" s="24">
      <c r="A483" s="6" t="n"/>
      <c r="B483" s="6" t="n"/>
    </row>
    <row r="484" ht="14.25" customHeight="1" s="24">
      <c r="A484" s="6" t="n"/>
      <c r="B484" s="6" t="n"/>
    </row>
    <row r="485" ht="14.25" customHeight="1" s="24">
      <c r="A485" s="6" t="n"/>
      <c r="B485" s="6" t="n"/>
    </row>
    <row r="486" ht="14.25" customHeight="1" s="24">
      <c r="A486" s="6" t="n"/>
      <c r="B486" s="6" t="n"/>
    </row>
    <row r="487" ht="14.25" customHeight="1" s="24">
      <c r="A487" s="6" t="n"/>
      <c r="B487" s="6" t="n"/>
    </row>
    <row r="488" ht="14.25" customHeight="1" s="24">
      <c r="A488" s="6" t="n"/>
      <c r="B488" s="6" t="n"/>
    </row>
    <row r="489" ht="14.25" customHeight="1" s="24">
      <c r="A489" s="6" t="n"/>
      <c r="B489" s="6" t="n"/>
    </row>
    <row r="490" ht="14.25" customHeight="1" s="24">
      <c r="A490" s="6" t="n"/>
      <c r="B490" s="6" t="n"/>
    </row>
    <row r="491" ht="14.25" customHeight="1" s="24">
      <c r="A491" s="6" t="n"/>
      <c r="B491" s="6" t="n"/>
    </row>
    <row r="492" ht="14.25" customHeight="1" s="24">
      <c r="A492" s="6" t="n"/>
      <c r="B492" s="6" t="n"/>
    </row>
    <row r="493" ht="14.25" customHeight="1" s="24">
      <c r="A493" s="6" t="n"/>
      <c r="B493" s="6" t="n"/>
    </row>
    <row r="494" ht="14.25" customHeight="1" s="24">
      <c r="A494" s="6" t="n"/>
      <c r="B494" s="6" t="n"/>
    </row>
    <row r="495" ht="14.25" customHeight="1" s="24">
      <c r="A495" s="6" t="n"/>
      <c r="B495" s="6" t="n"/>
    </row>
    <row r="496" ht="14.25" customHeight="1" s="24">
      <c r="A496" s="6" t="n"/>
      <c r="B496" s="6" t="n"/>
    </row>
    <row r="497" ht="14.25" customHeight="1" s="24">
      <c r="A497" s="6" t="n"/>
      <c r="B497" s="6" t="n"/>
    </row>
    <row r="498" ht="14.25" customHeight="1" s="24">
      <c r="A498" s="6" t="n"/>
      <c r="B498" s="6" t="n"/>
    </row>
    <row r="499" ht="14.25" customHeight="1" s="24">
      <c r="A499" s="6" t="n"/>
      <c r="B499" s="6" t="n"/>
    </row>
    <row r="500" ht="14.25" customHeight="1" s="24">
      <c r="A500" s="6" t="n"/>
      <c r="B500" s="6" t="n"/>
    </row>
    <row r="501" ht="14.25" customHeight="1" s="24">
      <c r="A501" s="6" t="n"/>
      <c r="B501" s="6" t="n"/>
    </row>
    <row r="502" ht="14.25" customHeight="1" s="24">
      <c r="A502" s="6" t="n"/>
      <c r="B502" s="6" t="n"/>
    </row>
    <row r="503" ht="14.25" customHeight="1" s="24">
      <c r="A503" s="6" t="n"/>
      <c r="B503" s="6" t="n"/>
    </row>
    <row r="504" ht="14.25" customHeight="1" s="24">
      <c r="A504" s="6" t="n"/>
      <c r="B504" s="6" t="n"/>
    </row>
    <row r="505" ht="14.25" customHeight="1" s="24">
      <c r="A505" s="6" t="n"/>
      <c r="B505" s="6" t="n"/>
    </row>
    <row r="506" ht="14.25" customHeight="1" s="24">
      <c r="A506" s="6" t="n"/>
      <c r="B506" s="6" t="n"/>
    </row>
    <row r="507" ht="14.25" customHeight="1" s="24">
      <c r="A507" s="6" t="n"/>
      <c r="B507" s="6" t="n"/>
    </row>
    <row r="508" ht="14.25" customHeight="1" s="24">
      <c r="A508" s="6" t="n"/>
      <c r="B508" s="6" t="n"/>
    </row>
    <row r="509" ht="14.25" customHeight="1" s="24">
      <c r="A509" s="6" t="n"/>
      <c r="B509" s="6" t="n"/>
    </row>
    <row r="510" ht="14.25" customHeight="1" s="24">
      <c r="A510" s="6" t="n"/>
      <c r="B510" s="6" t="n"/>
    </row>
    <row r="511" ht="14.25" customHeight="1" s="24">
      <c r="A511" s="6" t="n"/>
      <c r="B511" s="6" t="n"/>
    </row>
    <row r="512" ht="14.25" customHeight="1" s="24">
      <c r="A512" s="6" t="n"/>
      <c r="B512" s="6" t="n"/>
    </row>
    <row r="513" ht="14.25" customHeight="1" s="24">
      <c r="A513" s="6" t="n"/>
      <c r="B513" s="6" t="n"/>
    </row>
    <row r="514" ht="14.25" customHeight="1" s="24">
      <c r="A514" s="6" t="n"/>
      <c r="B514" s="6" t="n"/>
    </row>
    <row r="515" ht="14.25" customHeight="1" s="24">
      <c r="A515" s="6" t="n"/>
      <c r="B515" s="6" t="n"/>
    </row>
    <row r="516" ht="14.25" customHeight="1" s="24">
      <c r="A516" s="6" t="n"/>
      <c r="B516" s="6" t="n"/>
    </row>
    <row r="517" ht="14.25" customHeight="1" s="24">
      <c r="A517" s="6" t="n"/>
      <c r="B517" s="6" t="n"/>
    </row>
    <row r="518" ht="14.25" customHeight="1" s="24">
      <c r="A518" s="6" t="n"/>
      <c r="B518" s="6" t="n"/>
    </row>
    <row r="519" ht="14.25" customHeight="1" s="24">
      <c r="A519" s="6" t="n"/>
      <c r="B519" s="6" t="n"/>
    </row>
    <row r="520" ht="14.25" customHeight="1" s="24">
      <c r="A520" s="6" t="n"/>
      <c r="B520" s="6" t="n"/>
    </row>
    <row r="521" ht="14.25" customHeight="1" s="24">
      <c r="A521" s="6" t="n"/>
      <c r="B521" s="6" t="n"/>
    </row>
    <row r="522" ht="14.25" customHeight="1" s="24">
      <c r="A522" s="6" t="n"/>
      <c r="B522" s="6" t="n"/>
    </row>
    <row r="523" ht="14.25" customHeight="1" s="24">
      <c r="A523" s="6" t="n"/>
      <c r="B523" s="6" t="n"/>
    </row>
    <row r="524" ht="14.25" customHeight="1" s="24">
      <c r="A524" s="6" t="n"/>
      <c r="B524" s="6" t="n"/>
    </row>
    <row r="525" ht="14.25" customHeight="1" s="24">
      <c r="A525" s="6" t="n"/>
      <c r="B525" s="6" t="n"/>
    </row>
    <row r="526" ht="14.25" customHeight="1" s="24">
      <c r="A526" s="6" t="n"/>
      <c r="B526" s="6" t="n"/>
    </row>
    <row r="527" ht="14.25" customHeight="1" s="24">
      <c r="A527" s="6" t="n"/>
      <c r="B527" s="6" t="n"/>
    </row>
    <row r="528" ht="14.25" customHeight="1" s="24">
      <c r="A528" s="6" t="n"/>
      <c r="B528" s="6" t="n"/>
    </row>
    <row r="529" ht="14.25" customHeight="1" s="24">
      <c r="A529" s="6" t="n"/>
      <c r="B529" s="6" t="n"/>
    </row>
    <row r="530" ht="14.25" customHeight="1" s="24">
      <c r="A530" s="6" t="n"/>
      <c r="B530" s="6" t="n"/>
    </row>
    <row r="531" ht="14.25" customHeight="1" s="24">
      <c r="A531" s="6" t="n"/>
      <c r="B531" s="6" t="n"/>
    </row>
    <row r="532" ht="14.25" customHeight="1" s="24">
      <c r="A532" s="6" t="n"/>
      <c r="B532" s="6" t="n"/>
    </row>
    <row r="533" ht="14.25" customHeight="1" s="24">
      <c r="A533" s="6" t="n"/>
      <c r="B533" s="6" t="n"/>
    </row>
    <row r="534" ht="14.25" customHeight="1" s="24">
      <c r="A534" s="6" t="n"/>
      <c r="B534" s="6" t="n"/>
    </row>
    <row r="535" ht="14.25" customHeight="1" s="24">
      <c r="A535" s="6" t="n"/>
      <c r="B535" s="6" t="n"/>
    </row>
    <row r="536" ht="14.25" customHeight="1" s="24">
      <c r="A536" s="6" t="n"/>
      <c r="B536" s="6" t="n"/>
    </row>
    <row r="537" ht="14.25" customHeight="1" s="24">
      <c r="A537" s="6" t="n"/>
      <c r="B537" s="6" t="n"/>
    </row>
    <row r="538" ht="14.25" customHeight="1" s="24">
      <c r="A538" s="6" t="n"/>
      <c r="B538" s="6" t="n"/>
    </row>
    <row r="539" ht="14.25" customHeight="1" s="24">
      <c r="A539" s="6" t="n"/>
      <c r="B539" s="6" t="n"/>
    </row>
    <row r="540" ht="14.25" customHeight="1" s="24">
      <c r="A540" s="6" t="n"/>
      <c r="B540" s="6" t="n"/>
    </row>
    <row r="541" ht="14.25" customHeight="1" s="24">
      <c r="A541" s="6" t="n"/>
      <c r="B541" s="6" t="n"/>
    </row>
    <row r="542" ht="14.25" customHeight="1" s="24">
      <c r="A542" s="6" t="n"/>
      <c r="B542" s="6" t="n"/>
    </row>
    <row r="543" ht="14.25" customHeight="1" s="24">
      <c r="A543" s="6" t="n"/>
      <c r="B543" s="6" t="n"/>
    </row>
    <row r="544" ht="14.25" customHeight="1" s="24">
      <c r="A544" s="6" t="n"/>
      <c r="B544" s="6" t="n"/>
    </row>
    <row r="545" ht="14.25" customHeight="1" s="24">
      <c r="A545" s="6" t="n"/>
      <c r="B545" s="6" t="n"/>
    </row>
    <row r="546" ht="14.25" customHeight="1" s="24">
      <c r="A546" s="6" t="n"/>
      <c r="B546" s="6" t="n"/>
    </row>
    <row r="547" ht="14.25" customHeight="1" s="24">
      <c r="A547" s="6" t="n"/>
      <c r="B547" s="6" t="n"/>
    </row>
    <row r="548" ht="14.25" customHeight="1" s="24">
      <c r="A548" s="6" t="n"/>
      <c r="B548" s="6" t="n"/>
    </row>
    <row r="549" ht="14.25" customHeight="1" s="24">
      <c r="A549" s="6" t="n"/>
      <c r="B549" s="6" t="n"/>
    </row>
    <row r="550" ht="14.25" customHeight="1" s="24">
      <c r="A550" s="6" t="n"/>
      <c r="B550" s="6" t="n"/>
    </row>
    <row r="551" ht="14.25" customHeight="1" s="24">
      <c r="A551" s="6" t="n"/>
      <c r="B551" s="6" t="n"/>
    </row>
    <row r="552" ht="14.25" customHeight="1" s="24">
      <c r="A552" s="6" t="n"/>
      <c r="B552" s="6" t="n"/>
    </row>
    <row r="553" ht="14.25" customHeight="1" s="24">
      <c r="A553" s="6" t="n"/>
      <c r="B553" s="6" t="n"/>
    </row>
    <row r="554" ht="14.25" customHeight="1" s="24">
      <c r="A554" s="6" t="n"/>
      <c r="B554" s="6" t="n"/>
    </row>
    <row r="555" ht="14.25" customHeight="1" s="24">
      <c r="A555" s="6" t="n"/>
      <c r="B555" s="6" t="n"/>
    </row>
    <row r="556" ht="14.25" customHeight="1" s="24">
      <c r="A556" s="6" t="n"/>
      <c r="B556" s="6" t="n"/>
    </row>
    <row r="557" ht="14.25" customHeight="1" s="24">
      <c r="A557" s="6" t="n"/>
      <c r="B557" s="6" t="n"/>
    </row>
    <row r="558" ht="14.25" customHeight="1" s="24">
      <c r="A558" s="6" t="n"/>
      <c r="B558" s="6" t="n"/>
    </row>
    <row r="559" ht="14.25" customHeight="1" s="24">
      <c r="A559" s="6" t="n"/>
      <c r="B559" s="6" t="n"/>
    </row>
    <row r="560" ht="14.25" customHeight="1" s="24">
      <c r="A560" s="6" t="n"/>
      <c r="B560" s="6" t="n"/>
    </row>
    <row r="561" ht="14.25" customHeight="1" s="24">
      <c r="A561" s="6" t="n"/>
      <c r="B561" s="6" t="n"/>
    </row>
    <row r="562" ht="14.25" customHeight="1" s="24">
      <c r="A562" s="6" t="n"/>
      <c r="B562" s="6" t="n"/>
    </row>
    <row r="563" ht="14.25" customHeight="1" s="24">
      <c r="A563" s="6" t="n"/>
      <c r="B563" s="6" t="n"/>
    </row>
    <row r="564" ht="14.25" customHeight="1" s="24">
      <c r="A564" s="6" t="n"/>
      <c r="B564" s="6" t="n"/>
    </row>
    <row r="565" ht="14.25" customHeight="1" s="24">
      <c r="A565" s="6" t="n"/>
      <c r="B565" s="6" t="n"/>
    </row>
    <row r="566" ht="14.25" customHeight="1" s="24">
      <c r="A566" s="6" t="n"/>
      <c r="B566" s="6" t="n"/>
    </row>
    <row r="567" ht="14.25" customHeight="1" s="24">
      <c r="A567" s="6" t="n"/>
      <c r="B567" s="6" t="n"/>
    </row>
    <row r="568" ht="14.25" customHeight="1" s="24">
      <c r="A568" s="6" t="n"/>
      <c r="B568" s="6" t="n"/>
    </row>
    <row r="569" ht="14.25" customHeight="1" s="24">
      <c r="A569" s="6" t="n"/>
      <c r="B569" s="6" t="n"/>
    </row>
    <row r="570" ht="14.25" customHeight="1" s="24">
      <c r="A570" s="6" t="n"/>
      <c r="B570" s="6" t="n"/>
    </row>
    <row r="571" ht="14.25" customHeight="1" s="24">
      <c r="A571" s="6" t="n"/>
      <c r="B571" s="6" t="n"/>
    </row>
    <row r="572" ht="14.25" customHeight="1" s="24">
      <c r="A572" s="6" t="n"/>
      <c r="B572" s="6" t="n"/>
    </row>
    <row r="573" ht="14.25" customHeight="1" s="24">
      <c r="A573" s="6" t="n"/>
      <c r="B573" s="6" t="n"/>
    </row>
    <row r="574" ht="14.25" customHeight="1" s="24">
      <c r="A574" s="6" t="n"/>
      <c r="B574" s="6" t="n"/>
    </row>
    <row r="575" ht="14.25" customHeight="1" s="24">
      <c r="A575" s="6" t="n"/>
      <c r="B575" s="6" t="n"/>
    </row>
    <row r="576" ht="14.25" customHeight="1" s="24">
      <c r="A576" s="6" t="n"/>
      <c r="B576" s="6" t="n"/>
    </row>
    <row r="577" ht="14.25" customHeight="1" s="24">
      <c r="A577" s="6" t="n"/>
      <c r="B577" s="6" t="n"/>
    </row>
    <row r="578" ht="14.25" customHeight="1" s="24">
      <c r="A578" s="6" t="n"/>
      <c r="B578" s="6" t="n"/>
    </row>
    <row r="579" ht="14.25" customHeight="1" s="24">
      <c r="A579" s="6" t="n"/>
      <c r="B579" s="6" t="n"/>
    </row>
    <row r="580" ht="14.25" customHeight="1" s="24">
      <c r="A580" s="6" t="n"/>
      <c r="B580" s="6" t="n"/>
    </row>
    <row r="581" ht="14.25" customHeight="1" s="24">
      <c r="A581" s="6" t="n"/>
      <c r="B581" s="6" t="n"/>
    </row>
    <row r="582" ht="14.25" customHeight="1" s="24">
      <c r="A582" s="6" t="n"/>
      <c r="B582" s="6" t="n"/>
    </row>
    <row r="583" ht="14.25" customHeight="1" s="24">
      <c r="A583" s="6" t="n"/>
      <c r="B583" s="6" t="n"/>
    </row>
    <row r="584" ht="14.25" customHeight="1" s="24">
      <c r="A584" s="6" t="n"/>
      <c r="B584" s="6" t="n"/>
    </row>
    <row r="585" ht="14.25" customHeight="1" s="24">
      <c r="A585" s="6" t="n"/>
      <c r="B585" s="6" t="n"/>
    </row>
    <row r="586" ht="14.25" customHeight="1" s="24">
      <c r="A586" s="6" t="n"/>
      <c r="B586" s="6" t="n"/>
    </row>
    <row r="587" ht="14.25" customHeight="1" s="24">
      <c r="A587" s="6" t="n"/>
      <c r="B587" s="6" t="n"/>
    </row>
    <row r="588" ht="14.25" customHeight="1" s="24">
      <c r="A588" s="6" t="n"/>
      <c r="B588" s="6" t="n"/>
    </row>
    <row r="589" ht="14.25" customHeight="1" s="24">
      <c r="A589" s="6" t="n"/>
      <c r="B589" s="6" t="n"/>
    </row>
    <row r="590" ht="14.25" customHeight="1" s="24">
      <c r="A590" s="6" t="n"/>
      <c r="B590" s="6" t="n"/>
    </row>
    <row r="591" ht="14.25" customHeight="1" s="24">
      <c r="A591" s="6" t="n"/>
      <c r="B591" s="6" t="n"/>
    </row>
    <row r="592" ht="14.25" customHeight="1" s="24">
      <c r="A592" s="6" t="n"/>
      <c r="B592" s="6" t="n"/>
    </row>
    <row r="593" ht="14.25" customHeight="1" s="24">
      <c r="A593" s="6" t="n"/>
      <c r="B593" s="6" t="n"/>
    </row>
    <row r="594" ht="14.25" customHeight="1" s="24">
      <c r="A594" s="6" t="n"/>
      <c r="B594" s="6" t="n"/>
    </row>
    <row r="595" ht="14.25" customHeight="1" s="24">
      <c r="A595" s="6" t="n"/>
      <c r="B595" s="6" t="n"/>
    </row>
    <row r="596" ht="14.25" customHeight="1" s="24">
      <c r="A596" s="6" t="n"/>
      <c r="B596" s="6" t="n"/>
    </row>
    <row r="597" ht="14.25" customHeight="1" s="24">
      <c r="A597" s="6" t="n"/>
      <c r="B597" s="6" t="n"/>
    </row>
    <row r="598" ht="14.25" customHeight="1" s="24">
      <c r="A598" s="6" t="n"/>
      <c r="B598" s="6" t="n"/>
    </row>
    <row r="599" ht="14.25" customHeight="1" s="24">
      <c r="A599" s="6" t="n"/>
      <c r="B599" s="6" t="n"/>
    </row>
    <row r="600" ht="14.25" customHeight="1" s="24">
      <c r="A600" s="6" t="n"/>
      <c r="B600" s="6" t="n"/>
    </row>
    <row r="601" ht="14.25" customHeight="1" s="24">
      <c r="A601" s="6" t="n"/>
      <c r="B601" s="6" t="n"/>
    </row>
    <row r="602" ht="14.25" customHeight="1" s="24">
      <c r="A602" s="6" t="n"/>
      <c r="B602" s="6" t="n"/>
    </row>
    <row r="603" ht="14.25" customHeight="1" s="24">
      <c r="A603" s="6" t="n"/>
      <c r="B603" s="6" t="n"/>
    </row>
    <row r="604" ht="14.25" customHeight="1" s="24">
      <c r="A604" s="6" t="n"/>
      <c r="B604" s="6" t="n"/>
    </row>
    <row r="605" ht="14.25" customHeight="1" s="24">
      <c r="A605" s="6" t="n"/>
      <c r="B605" s="6" t="n"/>
    </row>
    <row r="606" ht="14.25" customHeight="1" s="24">
      <c r="A606" s="6" t="n"/>
      <c r="B606" s="6" t="n"/>
    </row>
    <row r="607" ht="14.25" customHeight="1" s="24">
      <c r="A607" s="6" t="n"/>
      <c r="B607" s="6" t="n"/>
    </row>
    <row r="608" ht="14.25" customHeight="1" s="24">
      <c r="A608" s="6" t="n"/>
      <c r="B608" s="6" t="n"/>
    </row>
    <row r="609" ht="14.25" customHeight="1" s="24">
      <c r="A609" s="6" t="n"/>
      <c r="B609" s="6" t="n"/>
    </row>
    <row r="610" ht="14.25" customHeight="1" s="24">
      <c r="A610" s="6" t="n"/>
      <c r="B610" s="6" t="n"/>
    </row>
    <row r="611" ht="14.25" customHeight="1" s="24">
      <c r="A611" s="6" t="n"/>
      <c r="B611" s="6" t="n"/>
    </row>
    <row r="612" ht="14.25" customHeight="1" s="24">
      <c r="A612" s="6" t="n"/>
      <c r="B612" s="6" t="n"/>
    </row>
    <row r="613" ht="14.25" customHeight="1" s="24">
      <c r="A613" s="6" t="n"/>
      <c r="B613" s="6" t="n"/>
    </row>
    <row r="614" ht="14.25" customHeight="1" s="24">
      <c r="A614" s="6" t="n"/>
      <c r="B614" s="6" t="n"/>
    </row>
    <row r="615" ht="14.25" customHeight="1" s="24">
      <c r="A615" s="6" t="n"/>
      <c r="B615" s="6" t="n"/>
    </row>
    <row r="616" ht="14.25" customHeight="1" s="24">
      <c r="A616" s="6" t="n"/>
      <c r="B616" s="6" t="n"/>
    </row>
    <row r="617" ht="14.25" customHeight="1" s="24">
      <c r="A617" s="6" t="n"/>
      <c r="B617" s="6" t="n"/>
    </row>
    <row r="618" ht="14.25" customHeight="1" s="24">
      <c r="A618" s="6" t="n"/>
      <c r="B618" s="6" t="n"/>
    </row>
    <row r="619" ht="14.25" customHeight="1" s="24">
      <c r="A619" s="6" t="n"/>
      <c r="B619" s="6" t="n"/>
    </row>
    <row r="620" ht="14.25" customHeight="1" s="24">
      <c r="A620" s="6" t="n"/>
      <c r="B620" s="6" t="n"/>
    </row>
    <row r="621" ht="14.25" customHeight="1" s="24">
      <c r="A621" s="6" t="n"/>
      <c r="B621" s="6" t="n"/>
    </row>
    <row r="622" ht="14.25" customHeight="1" s="24">
      <c r="A622" s="6" t="n"/>
      <c r="B622" s="6" t="n"/>
    </row>
    <row r="623" ht="14.25" customHeight="1" s="24">
      <c r="A623" s="6" t="n"/>
      <c r="B623" s="6" t="n"/>
    </row>
    <row r="624" ht="14.25" customHeight="1" s="24">
      <c r="A624" s="6" t="n"/>
      <c r="B624" s="6" t="n"/>
    </row>
    <row r="625" ht="14.25" customHeight="1" s="24">
      <c r="A625" s="6" t="n"/>
      <c r="B625" s="6" t="n"/>
    </row>
    <row r="626" ht="14.25" customHeight="1" s="24">
      <c r="A626" s="6" t="n"/>
      <c r="B626" s="6" t="n"/>
    </row>
    <row r="627" ht="14.25" customHeight="1" s="24">
      <c r="A627" s="6" t="n"/>
      <c r="B627" s="6" t="n"/>
    </row>
    <row r="628" ht="14.25" customHeight="1" s="24">
      <c r="A628" s="6" t="n"/>
      <c r="B628" s="6" t="n"/>
    </row>
    <row r="629" ht="14.25" customHeight="1" s="24">
      <c r="A629" s="6" t="n"/>
      <c r="B629" s="6" t="n"/>
    </row>
    <row r="630" ht="14.25" customHeight="1" s="24">
      <c r="A630" s="6" t="n"/>
      <c r="B630" s="6" t="n"/>
    </row>
    <row r="631" ht="14.25" customHeight="1" s="24">
      <c r="A631" s="6" t="n"/>
      <c r="B631" s="6" t="n"/>
    </row>
    <row r="632" ht="14.25" customHeight="1" s="24">
      <c r="A632" s="6" t="n"/>
      <c r="B632" s="6" t="n"/>
    </row>
    <row r="633" ht="14.25" customHeight="1" s="24">
      <c r="A633" s="6" t="n"/>
      <c r="B633" s="6" t="n"/>
    </row>
    <row r="634" ht="14.25" customHeight="1" s="24">
      <c r="A634" s="6" t="n"/>
      <c r="B634" s="6" t="n"/>
    </row>
    <row r="635" ht="14.25" customHeight="1" s="24">
      <c r="A635" s="6" t="n"/>
      <c r="B635" s="6" t="n"/>
    </row>
    <row r="636" ht="14.25" customHeight="1" s="24">
      <c r="A636" s="6" t="n"/>
      <c r="B636" s="6" t="n"/>
    </row>
    <row r="637" ht="14.25" customHeight="1" s="24">
      <c r="A637" s="6" t="n"/>
      <c r="B637" s="6" t="n"/>
    </row>
    <row r="638" ht="14.25" customHeight="1" s="24">
      <c r="A638" s="6" t="n"/>
      <c r="B638" s="6" t="n"/>
    </row>
    <row r="639" ht="14.25" customHeight="1" s="24">
      <c r="A639" s="6" t="n"/>
      <c r="B639" s="6" t="n"/>
    </row>
    <row r="640" ht="14.25" customHeight="1" s="24">
      <c r="A640" s="6" t="n"/>
      <c r="B640" s="6" t="n"/>
    </row>
    <row r="641" ht="14.25" customHeight="1" s="24">
      <c r="A641" s="6" t="n"/>
      <c r="B641" s="6" t="n"/>
    </row>
    <row r="642" ht="14.25" customHeight="1" s="24">
      <c r="A642" s="6" t="n"/>
      <c r="B642" s="6" t="n"/>
    </row>
    <row r="643" ht="14.25" customHeight="1" s="24">
      <c r="A643" s="6" t="n"/>
      <c r="B643" s="6" t="n"/>
    </row>
    <row r="644" ht="14.25" customHeight="1" s="24">
      <c r="A644" s="6" t="n"/>
      <c r="B644" s="6" t="n"/>
    </row>
    <row r="645" ht="14.25" customHeight="1" s="24">
      <c r="A645" s="6" t="n"/>
      <c r="B645" s="6" t="n"/>
    </row>
    <row r="646" ht="14.25" customHeight="1" s="24">
      <c r="A646" s="6" t="n"/>
      <c r="B646" s="6" t="n"/>
    </row>
    <row r="647" ht="14.25" customHeight="1" s="24">
      <c r="A647" s="6" t="n"/>
      <c r="B647" s="6" t="n"/>
    </row>
    <row r="648" ht="14.25" customHeight="1" s="24">
      <c r="A648" s="6" t="n"/>
      <c r="B648" s="6" t="n"/>
    </row>
    <row r="649" ht="14.25" customHeight="1" s="24">
      <c r="A649" s="6" t="n"/>
      <c r="B649" s="6" t="n"/>
    </row>
    <row r="650" ht="14.25" customHeight="1" s="24">
      <c r="A650" s="6" t="n"/>
      <c r="B650" s="6" t="n"/>
    </row>
    <row r="651" ht="14.25" customHeight="1" s="24">
      <c r="A651" s="6" t="n"/>
      <c r="B651" s="6" t="n"/>
    </row>
    <row r="652" ht="14.25" customHeight="1" s="24">
      <c r="A652" s="6" t="n"/>
      <c r="B652" s="6" t="n"/>
    </row>
    <row r="653" ht="14.25" customHeight="1" s="24">
      <c r="A653" s="6" t="n"/>
      <c r="B653" s="6" t="n"/>
    </row>
    <row r="654" ht="14.25" customHeight="1" s="24">
      <c r="A654" s="6" t="n"/>
      <c r="B654" s="6" t="n"/>
    </row>
    <row r="655" ht="14.25" customHeight="1" s="24">
      <c r="A655" s="6" t="n"/>
      <c r="B655" s="6" t="n"/>
    </row>
    <row r="656" ht="14.25" customHeight="1" s="24">
      <c r="A656" s="6" t="n"/>
      <c r="B656" s="6" t="n"/>
    </row>
    <row r="657" ht="14.25" customHeight="1" s="24">
      <c r="A657" s="6" t="n"/>
      <c r="B657" s="6" t="n"/>
    </row>
    <row r="658" ht="14.25" customHeight="1" s="24">
      <c r="A658" s="6" t="n"/>
      <c r="B658" s="6" t="n"/>
    </row>
    <row r="659" ht="14.25" customHeight="1" s="24">
      <c r="A659" s="6" t="n"/>
      <c r="B659" s="6" t="n"/>
    </row>
    <row r="660" ht="14.25" customHeight="1" s="24">
      <c r="A660" s="6" t="n"/>
      <c r="B660" s="6" t="n"/>
    </row>
    <row r="661" ht="14.25" customHeight="1" s="24">
      <c r="A661" s="6" t="n"/>
      <c r="B661" s="6" t="n"/>
    </row>
    <row r="662" ht="14.25" customHeight="1" s="24">
      <c r="A662" s="6" t="n"/>
      <c r="B662" s="6" t="n"/>
    </row>
    <row r="663" ht="14.25" customHeight="1" s="24">
      <c r="A663" s="6" t="n"/>
      <c r="B663" s="6" t="n"/>
    </row>
    <row r="664" ht="14.25" customHeight="1" s="24">
      <c r="A664" s="6" t="n"/>
      <c r="B664" s="6" t="n"/>
    </row>
    <row r="665" ht="14.25" customHeight="1" s="24">
      <c r="A665" s="6" t="n"/>
      <c r="B665" s="6" t="n"/>
    </row>
    <row r="666" ht="14.25" customHeight="1" s="24">
      <c r="A666" s="6" t="n"/>
      <c r="B666" s="6" t="n"/>
    </row>
    <row r="667" ht="14.25" customHeight="1" s="24">
      <c r="A667" s="6" t="n"/>
      <c r="B667" s="6" t="n"/>
    </row>
    <row r="668" ht="14.25" customHeight="1" s="24">
      <c r="A668" s="6" t="n"/>
      <c r="B668" s="6" t="n"/>
    </row>
    <row r="669" ht="14.25" customHeight="1" s="24">
      <c r="A669" s="6" t="n"/>
      <c r="B669" s="6" t="n"/>
    </row>
    <row r="670" ht="14.25" customHeight="1" s="24">
      <c r="A670" s="6" t="n"/>
      <c r="B670" s="6" t="n"/>
    </row>
    <row r="671" ht="14.25" customHeight="1" s="24">
      <c r="A671" s="6" t="n"/>
      <c r="B671" s="6" t="n"/>
    </row>
    <row r="672" ht="14.25" customHeight="1" s="24">
      <c r="A672" s="6" t="n"/>
      <c r="B672" s="6" t="n"/>
    </row>
    <row r="673" ht="14.25" customHeight="1" s="24">
      <c r="A673" s="6" t="n"/>
      <c r="B673" s="6" t="n"/>
    </row>
    <row r="674" ht="14.25" customHeight="1" s="24">
      <c r="A674" s="6" t="n"/>
      <c r="B674" s="6" t="n"/>
    </row>
    <row r="675" ht="14.25" customHeight="1" s="24">
      <c r="A675" s="6" t="n"/>
      <c r="B675" s="6" t="n"/>
    </row>
    <row r="676" ht="14.25" customHeight="1" s="24">
      <c r="A676" s="6" t="n"/>
      <c r="B676" s="6" t="n"/>
    </row>
    <row r="677" ht="14.25" customHeight="1" s="24">
      <c r="A677" s="6" t="n"/>
      <c r="B677" s="6" t="n"/>
    </row>
    <row r="678" ht="14.25" customHeight="1" s="24">
      <c r="A678" s="6" t="n"/>
      <c r="B678" s="6" t="n"/>
    </row>
    <row r="679" ht="14.25" customHeight="1" s="24">
      <c r="A679" s="6" t="n"/>
      <c r="B679" s="6" t="n"/>
    </row>
    <row r="680" ht="14.25" customHeight="1" s="24">
      <c r="A680" s="6" t="n"/>
      <c r="B680" s="6" t="n"/>
    </row>
    <row r="681" ht="14.25" customHeight="1" s="24">
      <c r="A681" s="6" t="n"/>
      <c r="B681" s="6" t="n"/>
    </row>
    <row r="682" ht="14.25" customHeight="1" s="24">
      <c r="A682" s="6" t="n"/>
      <c r="B682" s="6" t="n"/>
    </row>
    <row r="683" ht="14.25" customHeight="1" s="24">
      <c r="A683" s="6" t="n"/>
      <c r="B683" s="6" t="n"/>
    </row>
    <row r="684" ht="14.25" customHeight="1" s="24">
      <c r="A684" s="6" t="n"/>
      <c r="B684" s="6" t="n"/>
    </row>
    <row r="685" ht="14.25" customHeight="1" s="24">
      <c r="A685" s="6" t="n"/>
      <c r="B685" s="6" t="n"/>
    </row>
    <row r="686" ht="14.25" customHeight="1" s="24">
      <c r="A686" s="6" t="n"/>
      <c r="B686" s="6" t="n"/>
    </row>
    <row r="687" ht="14.25" customHeight="1" s="24">
      <c r="A687" s="6" t="n"/>
      <c r="B687" s="6" t="n"/>
    </row>
    <row r="688" ht="14.25" customHeight="1" s="24">
      <c r="A688" s="6" t="n"/>
      <c r="B688" s="6" t="n"/>
    </row>
    <row r="689" ht="14.25" customHeight="1" s="24">
      <c r="A689" s="6" t="n"/>
      <c r="B689" s="6" t="n"/>
    </row>
    <row r="690" ht="14.25" customHeight="1" s="24">
      <c r="A690" s="6" t="n"/>
      <c r="B690" s="6" t="n"/>
    </row>
    <row r="691" ht="14.25" customHeight="1" s="24">
      <c r="A691" s="6" t="n"/>
      <c r="B691" s="6" t="n"/>
    </row>
    <row r="692" ht="14.25" customHeight="1" s="24">
      <c r="A692" s="6" t="n"/>
      <c r="B692" s="6" t="n"/>
    </row>
    <row r="693" ht="14.25" customHeight="1" s="24">
      <c r="A693" s="6" t="n"/>
      <c r="B693" s="6" t="n"/>
    </row>
    <row r="694" ht="14.25" customHeight="1" s="24">
      <c r="A694" s="6" t="n"/>
      <c r="B694" s="6" t="n"/>
    </row>
    <row r="695" ht="14.25" customHeight="1" s="24">
      <c r="A695" s="6" t="n"/>
      <c r="B695" s="6" t="n"/>
    </row>
    <row r="696" ht="14.25" customHeight="1" s="24">
      <c r="A696" s="6" t="n"/>
      <c r="B696" s="6" t="n"/>
    </row>
    <row r="697" ht="14.25" customHeight="1" s="24">
      <c r="A697" s="6" t="n"/>
      <c r="B697" s="6" t="n"/>
    </row>
    <row r="698" ht="14.25" customHeight="1" s="24">
      <c r="A698" s="6" t="n"/>
      <c r="B698" s="6" t="n"/>
    </row>
    <row r="699" ht="14.25" customHeight="1" s="24">
      <c r="A699" s="6" t="n"/>
      <c r="B699" s="6" t="n"/>
    </row>
    <row r="700" ht="14.25" customHeight="1" s="24">
      <c r="A700" s="6" t="n"/>
      <c r="B700" s="6" t="n"/>
    </row>
    <row r="701" ht="14.25" customHeight="1" s="24">
      <c r="A701" s="6" t="n"/>
      <c r="B701" s="6" t="n"/>
    </row>
    <row r="702" ht="14.25" customHeight="1" s="24">
      <c r="A702" s="6" t="n"/>
      <c r="B702" s="6" t="n"/>
    </row>
    <row r="703" ht="14.25" customHeight="1" s="24">
      <c r="A703" s="6" t="n"/>
      <c r="B703" s="6" t="n"/>
    </row>
    <row r="704" ht="14.25" customHeight="1" s="24">
      <c r="A704" s="6" t="n"/>
      <c r="B704" s="6" t="n"/>
    </row>
    <row r="705" ht="14.25" customHeight="1" s="24">
      <c r="A705" s="6" t="n"/>
      <c r="B705" s="6" t="n"/>
    </row>
    <row r="706" ht="14.25" customHeight="1" s="24">
      <c r="A706" s="6" t="n"/>
      <c r="B706" s="6" t="n"/>
    </row>
    <row r="707" ht="14.25" customHeight="1" s="24">
      <c r="A707" s="6" t="n"/>
      <c r="B707" s="6" t="n"/>
    </row>
    <row r="708" ht="14.25" customHeight="1" s="24">
      <c r="A708" s="6" t="n"/>
      <c r="B708" s="6" t="n"/>
    </row>
    <row r="709" ht="14.25" customHeight="1" s="24">
      <c r="A709" s="6" t="n"/>
      <c r="B709" s="6" t="n"/>
    </row>
    <row r="710" ht="14.25" customHeight="1" s="24">
      <c r="A710" s="6" t="n"/>
      <c r="B710" s="6" t="n"/>
    </row>
    <row r="711" ht="14.25" customHeight="1" s="24">
      <c r="A711" s="6" t="n"/>
      <c r="B711" s="6" t="n"/>
    </row>
    <row r="712" ht="14.25" customHeight="1" s="24">
      <c r="A712" s="6" t="n"/>
      <c r="B712" s="6" t="n"/>
    </row>
    <row r="713" ht="14.25" customHeight="1" s="24">
      <c r="A713" s="6" t="n"/>
      <c r="B713" s="6" t="n"/>
    </row>
    <row r="714" ht="14.25" customHeight="1" s="24">
      <c r="A714" s="6" t="n"/>
      <c r="B714" s="6" t="n"/>
    </row>
    <row r="715" ht="14.25" customHeight="1" s="24">
      <c r="A715" s="6" t="n"/>
      <c r="B715" s="6" t="n"/>
    </row>
    <row r="716" ht="14.25" customHeight="1" s="24">
      <c r="A716" s="6" t="n"/>
      <c r="B716" s="6" t="n"/>
    </row>
    <row r="717" ht="14.25" customHeight="1" s="24">
      <c r="A717" s="6" t="n"/>
      <c r="B717" s="6" t="n"/>
    </row>
    <row r="718" ht="14.25" customHeight="1" s="24">
      <c r="A718" s="6" t="n"/>
      <c r="B718" s="6" t="n"/>
    </row>
    <row r="719" ht="14.25" customHeight="1" s="24">
      <c r="A719" s="6" t="n"/>
      <c r="B719" s="6" t="n"/>
    </row>
    <row r="720" ht="14.25" customHeight="1" s="24">
      <c r="A720" s="6" t="n"/>
      <c r="B720" s="6" t="n"/>
    </row>
    <row r="721" ht="14.25" customHeight="1" s="24">
      <c r="A721" s="6" t="n"/>
      <c r="B721" s="6" t="n"/>
    </row>
    <row r="722" ht="14.25" customHeight="1" s="24">
      <c r="A722" s="6" t="n"/>
      <c r="B722" s="6" t="n"/>
    </row>
    <row r="723" ht="14.25" customHeight="1" s="24">
      <c r="A723" s="6" t="n"/>
      <c r="B723" s="6" t="n"/>
    </row>
    <row r="724" ht="14.25" customHeight="1" s="24">
      <c r="A724" s="6" t="n"/>
      <c r="B724" s="6" t="n"/>
    </row>
    <row r="725" ht="14.25" customHeight="1" s="24">
      <c r="A725" s="6" t="n"/>
      <c r="B725" s="6" t="n"/>
    </row>
    <row r="726" ht="14.25" customHeight="1" s="24">
      <c r="A726" s="6" t="n"/>
      <c r="B726" s="6" t="n"/>
    </row>
    <row r="727" ht="14.25" customHeight="1" s="24">
      <c r="A727" s="6" t="n"/>
      <c r="B727" s="6" t="n"/>
    </row>
    <row r="728" ht="14.25" customHeight="1" s="24">
      <c r="A728" s="6" t="n"/>
      <c r="B728" s="6" t="n"/>
    </row>
    <row r="729" ht="14.25" customHeight="1" s="24">
      <c r="A729" s="6" t="n"/>
      <c r="B729" s="6" t="n"/>
    </row>
    <row r="730" ht="14.25" customHeight="1" s="24">
      <c r="A730" s="6" t="n"/>
      <c r="B730" s="6" t="n"/>
    </row>
    <row r="731" ht="14.25" customHeight="1" s="24">
      <c r="A731" s="6" t="n"/>
      <c r="B731" s="6" t="n"/>
    </row>
    <row r="732" ht="14.25" customHeight="1" s="24">
      <c r="A732" s="6" t="n"/>
      <c r="B732" s="6" t="n"/>
    </row>
    <row r="733" ht="14.25" customHeight="1" s="24">
      <c r="A733" s="6" t="n"/>
      <c r="B733" s="6" t="n"/>
    </row>
    <row r="734" ht="14.25" customHeight="1" s="24">
      <c r="A734" s="6" t="n"/>
      <c r="B734" s="6" t="n"/>
    </row>
    <row r="735" ht="14.25" customHeight="1" s="24">
      <c r="A735" s="6" t="n"/>
      <c r="B735" s="6" t="n"/>
    </row>
    <row r="736" ht="14.25" customHeight="1" s="24">
      <c r="A736" s="6" t="n"/>
      <c r="B736" s="6" t="n"/>
    </row>
    <row r="737" ht="14.25" customHeight="1" s="24">
      <c r="A737" s="6" t="n"/>
      <c r="B737" s="6" t="n"/>
    </row>
    <row r="738" ht="14.25" customHeight="1" s="24">
      <c r="A738" s="6" t="n"/>
      <c r="B738" s="6" t="n"/>
    </row>
    <row r="739" ht="14.25" customHeight="1" s="24">
      <c r="A739" s="6" t="n"/>
      <c r="B739" s="6" t="n"/>
    </row>
    <row r="740" ht="14.25" customHeight="1" s="24">
      <c r="A740" s="6" t="n"/>
      <c r="B740" s="6" t="n"/>
    </row>
    <row r="741" ht="14.25" customHeight="1" s="24">
      <c r="A741" s="6" t="n"/>
      <c r="B741" s="6" t="n"/>
    </row>
    <row r="742" ht="14.25" customHeight="1" s="24">
      <c r="A742" s="6" t="n"/>
      <c r="B742" s="6" t="n"/>
    </row>
    <row r="743" ht="14.25" customHeight="1" s="24">
      <c r="A743" s="6" t="n"/>
      <c r="B743" s="6" t="n"/>
    </row>
    <row r="744" ht="14.25" customHeight="1" s="24">
      <c r="A744" s="6" t="n"/>
      <c r="B744" s="6" t="n"/>
    </row>
    <row r="745" ht="14.25" customHeight="1" s="24">
      <c r="A745" s="6" t="n"/>
      <c r="B745" s="6" t="n"/>
    </row>
    <row r="746" ht="14.25" customHeight="1" s="24">
      <c r="A746" s="6" t="n"/>
      <c r="B746" s="6" t="n"/>
    </row>
    <row r="747" ht="14.25" customHeight="1" s="24">
      <c r="A747" s="6" t="n"/>
      <c r="B747" s="6" t="n"/>
    </row>
    <row r="748" ht="14.25" customHeight="1" s="24">
      <c r="A748" s="6" t="n"/>
      <c r="B748" s="6" t="n"/>
    </row>
    <row r="749" ht="14.25" customHeight="1" s="24">
      <c r="A749" s="6" t="n"/>
      <c r="B749" s="6" t="n"/>
    </row>
    <row r="750" ht="14.25" customHeight="1" s="24">
      <c r="A750" s="6" t="n"/>
      <c r="B750" s="6" t="n"/>
    </row>
    <row r="751" ht="14.25" customHeight="1" s="24">
      <c r="A751" s="6" t="n"/>
      <c r="B751" s="6" t="n"/>
    </row>
    <row r="752" ht="14.25" customHeight="1" s="24">
      <c r="A752" s="6" t="n"/>
      <c r="B752" s="6" t="n"/>
    </row>
    <row r="753" ht="14.25" customHeight="1" s="24">
      <c r="A753" s="6" t="n"/>
      <c r="B753" s="6" t="n"/>
    </row>
    <row r="754" ht="14.25" customHeight="1" s="24">
      <c r="A754" s="6" t="n"/>
      <c r="B754" s="6" t="n"/>
    </row>
    <row r="755" ht="14.25" customHeight="1" s="24">
      <c r="A755" s="6" t="n"/>
      <c r="B755" s="6" t="n"/>
    </row>
    <row r="756" ht="14.25" customHeight="1" s="24">
      <c r="A756" s="6" t="n"/>
      <c r="B756" s="6" t="n"/>
    </row>
    <row r="757" ht="14.25" customHeight="1" s="24">
      <c r="A757" s="6" t="n"/>
      <c r="B757" s="6" t="n"/>
    </row>
    <row r="758" ht="14.25" customHeight="1" s="24">
      <c r="A758" s="6" t="n"/>
      <c r="B758" s="6" t="n"/>
    </row>
    <row r="759" ht="14.25" customHeight="1" s="24">
      <c r="A759" s="6" t="n"/>
      <c r="B759" s="6" t="n"/>
    </row>
    <row r="760" ht="14.25" customHeight="1" s="24">
      <c r="A760" s="6" t="n"/>
      <c r="B760" s="6" t="n"/>
    </row>
    <row r="761" ht="14.25" customHeight="1" s="24">
      <c r="A761" s="6" t="n"/>
      <c r="B761" s="6" t="n"/>
    </row>
    <row r="762" ht="14.25" customHeight="1" s="24">
      <c r="A762" s="6" t="n"/>
      <c r="B762" s="6" t="n"/>
    </row>
    <row r="763" ht="14.25" customHeight="1" s="24">
      <c r="A763" s="6" t="n"/>
      <c r="B763" s="6" t="n"/>
    </row>
    <row r="764" ht="14.25" customHeight="1" s="24">
      <c r="A764" s="6" t="n"/>
      <c r="B764" s="6" t="n"/>
    </row>
    <row r="765" ht="14.25" customHeight="1" s="24">
      <c r="A765" s="6" t="n"/>
      <c r="B765" s="6" t="n"/>
    </row>
    <row r="766" ht="14.25" customHeight="1" s="24">
      <c r="A766" s="6" t="n"/>
      <c r="B766" s="6" t="n"/>
    </row>
    <row r="767" ht="14.25" customHeight="1" s="24">
      <c r="A767" s="6" t="n"/>
      <c r="B767" s="6" t="n"/>
    </row>
    <row r="768" ht="14.25" customHeight="1" s="24">
      <c r="A768" s="6" t="n"/>
      <c r="B768" s="6" t="n"/>
    </row>
    <row r="769" ht="14.25" customHeight="1" s="24">
      <c r="A769" s="6" t="n"/>
      <c r="B769" s="6" t="n"/>
    </row>
    <row r="770" ht="14.25" customHeight="1" s="24">
      <c r="A770" s="6" t="n"/>
      <c r="B770" s="6" t="n"/>
    </row>
    <row r="771" ht="14.25" customHeight="1" s="24">
      <c r="A771" s="6" t="n"/>
      <c r="B771" s="6" t="n"/>
    </row>
    <row r="772" ht="14.25" customHeight="1" s="24">
      <c r="A772" s="6" t="n"/>
      <c r="B772" s="6" t="n"/>
    </row>
    <row r="773" ht="14.25" customHeight="1" s="24">
      <c r="A773" s="6" t="n"/>
      <c r="B773" s="6" t="n"/>
    </row>
    <row r="774" ht="14.25" customHeight="1" s="24">
      <c r="A774" s="6" t="n"/>
      <c r="B774" s="6" t="n"/>
    </row>
    <row r="775" ht="14.25" customHeight="1" s="24">
      <c r="A775" s="6" t="n"/>
      <c r="B775" s="6" t="n"/>
    </row>
    <row r="776" ht="14.25" customHeight="1" s="24">
      <c r="A776" s="6" t="n"/>
      <c r="B776" s="6" t="n"/>
    </row>
    <row r="777" ht="14.25" customHeight="1" s="24">
      <c r="A777" s="6" t="n"/>
      <c r="B777" s="6" t="n"/>
    </row>
    <row r="778" ht="14.25" customHeight="1" s="24">
      <c r="A778" s="6" t="n"/>
      <c r="B778" s="6" t="n"/>
    </row>
    <row r="779" ht="14.25" customHeight="1" s="24">
      <c r="A779" s="6" t="n"/>
      <c r="B779" s="6" t="n"/>
    </row>
    <row r="780" ht="14.25" customHeight="1" s="24">
      <c r="A780" s="6" t="n"/>
      <c r="B780" s="6" t="n"/>
    </row>
    <row r="781" ht="14.25" customHeight="1" s="24">
      <c r="A781" s="6" t="n"/>
      <c r="B781" s="6" t="n"/>
    </row>
    <row r="782" ht="14.25" customHeight="1" s="24">
      <c r="A782" s="6" t="n"/>
      <c r="B782" s="6" t="n"/>
    </row>
    <row r="783" ht="14.25" customHeight="1" s="24">
      <c r="A783" s="6" t="n"/>
      <c r="B783" s="6" t="n"/>
    </row>
    <row r="784" ht="14.25" customHeight="1" s="24">
      <c r="A784" s="6" t="n"/>
      <c r="B784" s="6" t="n"/>
    </row>
    <row r="785" ht="14.25" customHeight="1" s="24">
      <c r="A785" s="6" t="n"/>
      <c r="B785" s="6" t="n"/>
    </row>
    <row r="786" ht="14.25" customHeight="1" s="24">
      <c r="A786" s="6" t="n"/>
      <c r="B786" s="6" t="n"/>
    </row>
    <row r="787" ht="14.25" customHeight="1" s="24">
      <c r="A787" s="6" t="n"/>
      <c r="B787" s="6" t="n"/>
    </row>
    <row r="788" ht="14.25" customHeight="1" s="24">
      <c r="A788" s="6" t="n"/>
      <c r="B788" s="6" t="n"/>
    </row>
    <row r="789" ht="14.25" customHeight="1" s="24">
      <c r="A789" s="6" t="n"/>
      <c r="B789" s="6" t="n"/>
    </row>
    <row r="790" ht="14.25" customHeight="1" s="24">
      <c r="A790" s="6" t="n"/>
      <c r="B790" s="6" t="n"/>
    </row>
    <row r="791" ht="14.25" customHeight="1" s="24">
      <c r="A791" s="6" t="n"/>
      <c r="B791" s="6" t="n"/>
    </row>
    <row r="792" ht="14.25" customHeight="1" s="24">
      <c r="A792" s="6" t="n"/>
      <c r="B792" s="6" t="n"/>
    </row>
    <row r="793" ht="14.25" customHeight="1" s="24">
      <c r="A793" s="6" t="n"/>
      <c r="B793" s="6" t="n"/>
    </row>
    <row r="794" ht="14.25" customHeight="1" s="24">
      <c r="A794" s="6" t="n"/>
      <c r="B794" s="6" t="n"/>
    </row>
    <row r="795" ht="14.25" customHeight="1" s="24">
      <c r="A795" s="6" t="n"/>
      <c r="B795" s="6" t="n"/>
    </row>
    <row r="796" ht="14.25" customHeight="1" s="24">
      <c r="A796" s="6" t="n"/>
      <c r="B796" s="6" t="n"/>
    </row>
    <row r="797" ht="14.25" customHeight="1" s="24">
      <c r="A797" s="6" t="n"/>
      <c r="B797" s="6" t="n"/>
    </row>
    <row r="798" ht="14.25" customHeight="1" s="24">
      <c r="A798" s="6" t="n"/>
      <c r="B798" s="6" t="n"/>
    </row>
    <row r="799" ht="14.25" customHeight="1" s="24">
      <c r="A799" s="6" t="n"/>
      <c r="B799" s="6" t="n"/>
    </row>
    <row r="800" ht="14.25" customHeight="1" s="24">
      <c r="A800" s="6" t="n"/>
      <c r="B800" s="6" t="n"/>
    </row>
    <row r="801" ht="14.25" customHeight="1" s="24">
      <c r="A801" s="6" t="n"/>
      <c r="B801" s="6" t="n"/>
    </row>
    <row r="802" ht="14.25" customHeight="1" s="24">
      <c r="A802" s="6" t="n"/>
      <c r="B802" s="6" t="n"/>
    </row>
    <row r="803" ht="14.25" customHeight="1" s="24">
      <c r="A803" s="6" t="n"/>
      <c r="B803" s="6" t="n"/>
    </row>
    <row r="804" ht="14.25" customHeight="1" s="24">
      <c r="A804" s="6" t="n"/>
      <c r="B804" s="6" t="n"/>
    </row>
    <row r="805" ht="14.25" customHeight="1" s="24">
      <c r="A805" s="6" t="n"/>
      <c r="B805" s="6" t="n"/>
    </row>
    <row r="806" ht="14.25" customHeight="1" s="24">
      <c r="A806" s="6" t="n"/>
      <c r="B806" s="6" t="n"/>
    </row>
    <row r="807" ht="14.25" customHeight="1" s="24">
      <c r="A807" s="6" t="n"/>
      <c r="B807" s="6" t="n"/>
    </row>
    <row r="808" ht="14.25" customHeight="1" s="24">
      <c r="A808" s="6" t="n"/>
      <c r="B808" s="6" t="n"/>
    </row>
    <row r="809" ht="14.25" customHeight="1" s="24">
      <c r="A809" s="6" t="n"/>
      <c r="B809" s="6" t="n"/>
    </row>
    <row r="810" ht="14.25" customHeight="1" s="24">
      <c r="A810" s="6" t="n"/>
      <c r="B810" s="6" t="n"/>
    </row>
    <row r="811" ht="14.25" customHeight="1" s="24">
      <c r="A811" s="6" t="n"/>
      <c r="B811" s="6" t="n"/>
    </row>
    <row r="812" ht="14.25" customHeight="1" s="24">
      <c r="A812" s="6" t="n"/>
      <c r="B812" s="6" t="n"/>
    </row>
    <row r="813" ht="14.25" customHeight="1" s="24">
      <c r="A813" s="6" t="n"/>
      <c r="B813" s="6" t="n"/>
    </row>
    <row r="814" ht="14.25" customHeight="1" s="24">
      <c r="A814" s="6" t="n"/>
      <c r="B814" s="6" t="n"/>
    </row>
    <row r="815" ht="14.25" customHeight="1" s="24">
      <c r="A815" s="6" t="n"/>
      <c r="B815" s="6" t="n"/>
    </row>
    <row r="816" ht="14.25" customHeight="1" s="24">
      <c r="A816" s="6" t="n"/>
      <c r="B816" s="6" t="n"/>
    </row>
    <row r="817" ht="14.25" customHeight="1" s="24">
      <c r="A817" s="6" t="n"/>
      <c r="B817" s="6" t="n"/>
    </row>
    <row r="818" ht="14.25" customHeight="1" s="24">
      <c r="A818" s="6" t="n"/>
      <c r="B818" s="6" t="n"/>
    </row>
    <row r="819" ht="14.25" customHeight="1" s="24">
      <c r="A819" s="6" t="n"/>
      <c r="B819" s="6" t="n"/>
    </row>
    <row r="820" ht="14.25" customHeight="1" s="24">
      <c r="A820" s="6" t="n"/>
      <c r="B820" s="6" t="n"/>
    </row>
    <row r="821" ht="14.25" customHeight="1" s="24">
      <c r="A821" s="6" t="n"/>
      <c r="B821" s="6" t="n"/>
    </row>
    <row r="822" ht="14.25" customHeight="1" s="24">
      <c r="A822" s="6" t="n"/>
      <c r="B822" s="6" t="n"/>
    </row>
    <row r="823" ht="14.25" customHeight="1" s="24">
      <c r="A823" s="6" t="n"/>
      <c r="B823" s="6" t="n"/>
    </row>
    <row r="824" ht="14.25" customHeight="1" s="24">
      <c r="A824" s="6" t="n"/>
      <c r="B824" s="6" t="n"/>
    </row>
    <row r="825" ht="14.25" customHeight="1" s="24">
      <c r="A825" s="6" t="n"/>
      <c r="B825" s="6" t="n"/>
    </row>
    <row r="826" ht="14.25" customHeight="1" s="24">
      <c r="A826" s="6" t="n"/>
      <c r="B826" s="6" t="n"/>
    </row>
    <row r="827" ht="14.25" customHeight="1" s="24">
      <c r="A827" s="6" t="n"/>
      <c r="B827" s="6" t="n"/>
    </row>
    <row r="828" ht="14.25" customHeight="1" s="24">
      <c r="A828" s="6" t="n"/>
      <c r="B828" s="6" t="n"/>
    </row>
    <row r="829" ht="14.25" customHeight="1" s="24">
      <c r="A829" s="6" t="n"/>
      <c r="B829" s="6" t="n"/>
    </row>
    <row r="830" ht="14.25" customHeight="1" s="24">
      <c r="A830" s="6" t="n"/>
      <c r="B830" s="6" t="n"/>
    </row>
    <row r="831" ht="14.25" customHeight="1" s="24">
      <c r="A831" s="6" t="n"/>
      <c r="B831" s="6" t="n"/>
    </row>
    <row r="832" ht="14.25" customHeight="1" s="24">
      <c r="A832" s="6" t="n"/>
      <c r="B832" s="6" t="n"/>
    </row>
    <row r="833" ht="14.25" customHeight="1" s="24">
      <c r="A833" s="6" t="n"/>
      <c r="B833" s="6" t="n"/>
    </row>
    <row r="834" ht="14.25" customHeight="1" s="24">
      <c r="A834" s="6" t="n"/>
      <c r="B834" s="6" t="n"/>
    </row>
    <row r="835" ht="14.25" customHeight="1" s="24">
      <c r="A835" s="6" t="n"/>
      <c r="B835" s="6" t="n"/>
    </row>
    <row r="836" ht="14.25" customHeight="1" s="24">
      <c r="A836" s="6" t="n"/>
      <c r="B836" s="6" t="n"/>
    </row>
    <row r="837" ht="14.25" customHeight="1" s="24">
      <c r="A837" s="6" t="n"/>
      <c r="B837" s="6" t="n"/>
    </row>
    <row r="838" ht="14.25" customHeight="1" s="24">
      <c r="A838" s="6" t="n"/>
      <c r="B838" s="6" t="n"/>
    </row>
    <row r="839" ht="14.25" customHeight="1" s="24">
      <c r="A839" s="6" t="n"/>
      <c r="B839" s="6" t="n"/>
    </row>
    <row r="840" ht="14.25" customHeight="1" s="24">
      <c r="A840" s="6" t="n"/>
      <c r="B840" s="6" t="n"/>
    </row>
    <row r="841" ht="14.25" customHeight="1" s="24">
      <c r="A841" s="6" t="n"/>
      <c r="B841" s="6" t="n"/>
    </row>
    <row r="842" ht="14.25" customHeight="1" s="24">
      <c r="A842" s="6" t="n"/>
      <c r="B842" s="6" t="n"/>
    </row>
    <row r="843" ht="14.25" customHeight="1" s="24">
      <c r="A843" s="6" t="n"/>
      <c r="B843" s="6" t="n"/>
    </row>
    <row r="844" ht="14.25" customHeight="1" s="24">
      <c r="A844" s="6" t="n"/>
      <c r="B844" s="6" t="n"/>
    </row>
    <row r="845" ht="14.25" customHeight="1" s="24">
      <c r="A845" s="6" t="n"/>
      <c r="B845" s="6" t="n"/>
    </row>
    <row r="846" ht="14.25" customHeight="1" s="24">
      <c r="A846" s="6" t="n"/>
      <c r="B846" s="6" t="n"/>
    </row>
    <row r="847" ht="14.25" customHeight="1" s="24">
      <c r="A847" s="6" t="n"/>
      <c r="B847" s="6" t="n"/>
    </row>
    <row r="848" ht="14.25" customHeight="1" s="24">
      <c r="A848" s="6" t="n"/>
      <c r="B848" s="6" t="n"/>
    </row>
    <row r="849" ht="14.25" customHeight="1" s="24">
      <c r="A849" s="6" t="n"/>
      <c r="B849" s="6" t="n"/>
    </row>
    <row r="850" ht="14.25" customHeight="1" s="24">
      <c r="A850" s="6" t="n"/>
      <c r="B850" s="6" t="n"/>
    </row>
    <row r="851" ht="14.25" customHeight="1" s="24">
      <c r="A851" s="6" t="n"/>
      <c r="B851" s="6" t="n"/>
    </row>
    <row r="852" ht="14.25" customHeight="1" s="24">
      <c r="A852" s="6" t="n"/>
      <c r="B852" s="6" t="n"/>
    </row>
    <row r="853" ht="14.25" customHeight="1" s="24">
      <c r="A853" s="6" t="n"/>
      <c r="B853" s="6" t="n"/>
    </row>
    <row r="854" ht="14.25" customHeight="1" s="24">
      <c r="A854" s="6" t="n"/>
      <c r="B854" s="6" t="n"/>
    </row>
    <row r="855" ht="14.25" customHeight="1" s="24">
      <c r="A855" s="6" t="n"/>
      <c r="B855" s="6" t="n"/>
    </row>
    <row r="856" ht="14.25" customHeight="1" s="24">
      <c r="A856" s="6" t="n"/>
      <c r="B856" s="6" t="n"/>
    </row>
    <row r="857" ht="14.25" customHeight="1" s="24">
      <c r="A857" s="6" t="n"/>
      <c r="B857" s="6" t="n"/>
    </row>
    <row r="858" ht="14.25" customHeight="1" s="24">
      <c r="A858" s="6" t="n"/>
      <c r="B858" s="6" t="n"/>
    </row>
    <row r="859" ht="14.25" customHeight="1" s="24">
      <c r="A859" s="6" t="n"/>
      <c r="B859" s="6" t="n"/>
    </row>
    <row r="860" ht="14.25" customHeight="1" s="24">
      <c r="A860" s="6" t="n"/>
      <c r="B860" s="6" t="n"/>
    </row>
    <row r="861" ht="14.25" customHeight="1" s="24">
      <c r="A861" s="6" t="n"/>
      <c r="B861" s="6" t="n"/>
    </row>
    <row r="862" ht="14.25" customHeight="1" s="24">
      <c r="A862" s="6" t="n"/>
      <c r="B862" s="6" t="n"/>
    </row>
    <row r="863" ht="14.25" customHeight="1" s="24">
      <c r="A863" s="6" t="n"/>
      <c r="B863" s="6" t="n"/>
    </row>
    <row r="864" ht="14.25" customHeight="1" s="24">
      <c r="A864" s="6" t="n"/>
      <c r="B864" s="6" t="n"/>
    </row>
    <row r="865" ht="14.25" customHeight="1" s="24">
      <c r="A865" s="6" t="n"/>
      <c r="B865" s="6" t="n"/>
    </row>
    <row r="866" ht="14.25" customHeight="1" s="24">
      <c r="A866" s="6" t="n"/>
      <c r="B866" s="6" t="n"/>
    </row>
    <row r="867" ht="14.25" customHeight="1" s="24">
      <c r="A867" s="6" t="n"/>
      <c r="B867" s="6" t="n"/>
    </row>
    <row r="868" ht="14.25" customHeight="1" s="24">
      <c r="A868" s="6" t="n"/>
      <c r="B868" s="6" t="n"/>
    </row>
    <row r="869" ht="14.25" customHeight="1" s="24">
      <c r="A869" s="6" t="n"/>
      <c r="B869" s="6" t="n"/>
    </row>
    <row r="870" ht="14.25" customHeight="1" s="24">
      <c r="A870" s="6" t="n"/>
      <c r="B870" s="6" t="n"/>
    </row>
    <row r="871" ht="14.25" customHeight="1" s="24">
      <c r="A871" s="6" t="n"/>
      <c r="B871" s="6" t="n"/>
    </row>
    <row r="872" ht="14.25" customHeight="1" s="24">
      <c r="A872" s="6" t="n"/>
      <c r="B872" s="6" t="n"/>
    </row>
    <row r="873" ht="14.25" customHeight="1" s="24">
      <c r="A873" s="6" t="n"/>
      <c r="B873" s="6" t="n"/>
    </row>
    <row r="874" ht="14.25" customHeight="1" s="24">
      <c r="A874" s="6" t="n"/>
      <c r="B874" s="6" t="n"/>
    </row>
    <row r="875" ht="14.25" customHeight="1" s="24">
      <c r="A875" s="6" t="n"/>
      <c r="B875" s="6" t="n"/>
    </row>
    <row r="876" ht="14.25" customHeight="1" s="24">
      <c r="A876" s="6" t="n"/>
      <c r="B876" s="6" t="n"/>
    </row>
    <row r="877" ht="14.25" customHeight="1" s="24">
      <c r="A877" s="6" t="n"/>
      <c r="B877" s="6" t="n"/>
    </row>
    <row r="878" ht="14.25" customHeight="1" s="24">
      <c r="A878" s="6" t="n"/>
      <c r="B878" s="6" t="n"/>
    </row>
    <row r="879" ht="14.25" customHeight="1" s="24">
      <c r="A879" s="6" t="n"/>
      <c r="B879" s="6" t="n"/>
    </row>
    <row r="880" ht="14.25" customHeight="1" s="24">
      <c r="A880" s="6" t="n"/>
      <c r="B880" s="6" t="n"/>
    </row>
    <row r="881" ht="14.25" customHeight="1" s="24">
      <c r="A881" s="6" t="n"/>
      <c r="B881" s="6" t="n"/>
    </row>
    <row r="882" ht="14.25" customHeight="1" s="24">
      <c r="A882" s="6" t="n"/>
      <c r="B882" s="6" t="n"/>
    </row>
    <row r="883" ht="14.25" customHeight="1" s="24">
      <c r="A883" s="6" t="n"/>
      <c r="B883" s="6" t="n"/>
    </row>
    <row r="884" ht="14.25" customHeight="1" s="24">
      <c r="A884" s="6" t="n"/>
      <c r="B884" s="6" t="n"/>
    </row>
    <row r="885" ht="14.25" customHeight="1" s="24">
      <c r="A885" s="6" t="n"/>
      <c r="B885" s="6" t="n"/>
    </row>
    <row r="886" ht="14.25" customHeight="1" s="24">
      <c r="A886" s="6" t="n"/>
      <c r="B886" s="6" t="n"/>
    </row>
    <row r="887" ht="14.25" customHeight="1" s="24">
      <c r="A887" s="6" t="n"/>
      <c r="B887" s="6" t="n"/>
    </row>
    <row r="888" ht="14.25" customHeight="1" s="24">
      <c r="A888" s="6" t="n"/>
      <c r="B888" s="6" t="n"/>
    </row>
    <row r="889" ht="14.25" customHeight="1" s="24">
      <c r="A889" s="6" t="n"/>
      <c r="B889" s="6" t="n"/>
    </row>
    <row r="890" ht="14.25" customHeight="1" s="24">
      <c r="A890" s="6" t="n"/>
      <c r="B890" s="6" t="n"/>
    </row>
    <row r="891" ht="14.25" customHeight="1" s="24">
      <c r="A891" s="6" t="n"/>
      <c r="B891" s="6" t="n"/>
    </row>
    <row r="892" ht="14.25" customHeight="1" s="24">
      <c r="A892" s="6" t="n"/>
      <c r="B892" s="6" t="n"/>
    </row>
    <row r="893" ht="14.25" customHeight="1" s="24">
      <c r="A893" s="6" t="n"/>
      <c r="B893" s="6" t="n"/>
    </row>
    <row r="894" ht="14.25" customHeight="1" s="24">
      <c r="A894" s="6" t="n"/>
      <c r="B894" s="6" t="n"/>
    </row>
    <row r="895" ht="14.25" customHeight="1" s="24">
      <c r="A895" s="6" t="n"/>
      <c r="B895" s="6" t="n"/>
    </row>
    <row r="896" ht="14.25" customHeight="1" s="24">
      <c r="A896" s="6" t="n"/>
      <c r="B896" s="6" t="n"/>
    </row>
    <row r="897" ht="14.25" customHeight="1" s="24">
      <c r="A897" s="6" t="n"/>
      <c r="B897" s="6" t="n"/>
    </row>
    <row r="898" ht="14.25" customHeight="1" s="24">
      <c r="A898" s="6" t="n"/>
      <c r="B898" s="6" t="n"/>
    </row>
    <row r="899" ht="14.25" customHeight="1" s="24">
      <c r="A899" s="6" t="n"/>
      <c r="B899" s="6" t="n"/>
    </row>
    <row r="900" ht="14.25" customHeight="1" s="24">
      <c r="A900" s="6" t="n"/>
      <c r="B900" s="6" t="n"/>
    </row>
    <row r="901" ht="14.25" customHeight="1" s="24">
      <c r="A901" s="6" t="n"/>
      <c r="B901" s="6" t="n"/>
    </row>
    <row r="902" ht="14.25" customHeight="1" s="24">
      <c r="A902" s="6" t="n"/>
      <c r="B902" s="6" t="n"/>
    </row>
    <row r="903" ht="14.25" customHeight="1" s="24">
      <c r="A903" s="6" t="n"/>
      <c r="B903" s="6" t="n"/>
    </row>
    <row r="904" ht="14.25" customHeight="1" s="24">
      <c r="A904" s="6" t="n"/>
      <c r="B904" s="6" t="n"/>
    </row>
    <row r="905" ht="14.25" customHeight="1" s="24">
      <c r="A905" s="6" t="n"/>
      <c r="B905" s="6" t="n"/>
    </row>
    <row r="906" ht="14.25" customHeight="1" s="24">
      <c r="A906" s="6" t="n"/>
      <c r="B906" s="6" t="n"/>
    </row>
    <row r="907" ht="14.25" customHeight="1" s="24">
      <c r="A907" s="6" t="n"/>
      <c r="B907" s="6" t="n"/>
    </row>
    <row r="908" ht="14.25" customHeight="1" s="24">
      <c r="A908" s="6" t="n"/>
      <c r="B908" s="6" t="n"/>
    </row>
    <row r="909" ht="14.25" customHeight="1" s="24">
      <c r="A909" s="6" t="n"/>
      <c r="B909" s="6" t="n"/>
    </row>
    <row r="910" ht="14.25" customHeight="1" s="24">
      <c r="A910" s="6" t="n"/>
      <c r="B910" s="6" t="n"/>
    </row>
    <row r="911" ht="14.25" customHeight="1" s="24">
      <c r="A911" s="6" t="n"/>
      <c r="B911" s="6" t="n"/>
    </row>
    <row r="912" ht="14.25" customHeight="1" s="24">
      <c r="A912" s="6" t="n"/>
      <c r="B912" s="6" t="n"/>
    </row>
    <row r="913" ht="14.25" customHeight="1" s="24">
      <c r="A913" s="6" t="n"/>
      <c r="B913" s="6" t="n"/>
    </row>
    <row r="914" ht="14.25" customHeight="1" s="24">
      <c r="A914" s="6" t="n"/>
      <c r="B914" s="6" t="n"/>
    </row>
    <row r="915" ht="14.25" customHeight="1" s="24">
      <c r="A915" s="6" t="n"/>
      <c r="B915" s="6" t="n"/>
    </row>
    <row r="916" ht="14.25" customHeight="1" s="24">
      <c r="A916" s="6" t="n"/>
      <c r="B916" s="6" t="n"/>
    </row>
    <row r="917" ht="14.25" customHeight="1" s="24">
      <c r="A917" s="6" t="n"/>
      <c r="B917" s="6" t="n"/>
    </row>
    <row r="918" ht="14.25" customHeight="1" s="24">
      <c r="A918" s="6" t="n"/>
      <c r="B918" s="6" t="n"/>
    </row>
    <row r="919" ht="14.25" customHeight="1" s="24">
      <c r="A919" s="6" t="n"/>
      <c r="B919" s="6" t="n"/>
    </row>
    <row r="920" ht="14.25" customHeight="1" s="24">
      <c r="A920" s="6" t="n"/>
      <c r="B920" s="6" t="n"/>
    </row>
    <row r="921" ht="14.25" customHeight="1" s="24">
      <c r="A921" s="6" t="n"/>
      <c r="B921" s="6" t="n"/>
    </row>
    <row r="922" ht="14.25" customHeight="1" s="24">
      <c r="A922" s="6" t="n"/>
      <c r="B922" s="6" t="n"/>
    </row>
    <row r="923" ht="14.25" customHeight="1" s="24">
      <c r="A923" s="6" t="n"/>
      <c r="B923" s="6" t="n"/>
    </row>
    <row r="924" ht="14.25" customHeight="1" s="24">
      <c r="A924" s="6" t="n"/>
      <c r="B924" s="6" t="n"/>
    </row>
    <row r="925" ht="14.25" customHeight="1" s="24">
      <c r="A925" s="6" t="n"/>
      <c r="B925" s="6" t="n"/>
    </row>
    <row r="926" ht="14.25" customHeight="1" s="24">
      <c r="A926" s="6" t="n"/>
      <c r="B926" s="6" t="n"/>
    </row>
    <row r="927" ht="14.25" customHeight="1" s="24">
      <c r="A927" s="6" t="n"/>
      <c r="B927" s="6" t="n"/>
    </row>
    <row r="928" ht="14.25" customHeight="1" s="24">
      <c r="A928" s="6" t="n"/>
      <c r="B928" s="6" t="n"/>
    </row>
    <row r="929" ht="14.25" customHeight="1" s="24">
      <c r="A929" s="6" t="n"/>
      <c r="B929" s="6" t="n"/>
    </row>
    <row r="930" ht="14.25" customHeight="1" s="24">
      <c r="A930" s="6" t="n"/>
      <c r="B930" s="6" t="n"/>
    </row>
    <row r="931" ht="14.25" customHeight="1" s="24">
      <c r="A931" s="6" t="n"/>
      <c r="B931" s="6" t="n"/>
    </row>
    <row r="932" ht="14.25" customHeight="1" s="24">
      <c r="A932" s="6" t="n"/>
      <c r="B932" s="6" t="n"/>
    </row>
    <row r="933" ht="14.25" customHeight="1" s="24">
      <c r="A933" s="6" t="n"/>
      <c r="B933" s="6" t="n"/>
    </row>
    <row r="934" ht="14.25" customHeight="1" s="24">
      <c r="A934" s="6" t="n"/>
      <c r="B934" s="6" t="n"/>
    </row>
    <row r="935" ht="14.25" customHeight="1" s="24">
      <c r="A935" s="6" t="n"/>
      <c r="B935" s="6" t="n"/>
    </row>
    <row r="936" ht="14.25" customHeight="1" s="24">
      <c r="A936" s="6" t="n"/>
      <c r="B936" s="6" t="n"/>
    </row>
    <row r="937" ht="14.25" customHeight="1" s="24">
      <c r="A937" s="6" t="n"/>
      <c r="B937" s="6" t="n"/>
    </row>
    <row r="938" ht="14.25" customHeight="1" s="24">
      <c r="A938" s="6" t="n"/>
      <c r="B938" s="6" t="n"/>
    </row>
    <row r="939" ht="14.25" customHeight="1" s="24">
      <c r="A939" s="6" t="n"/>
      <c r="B939" s="6" t="n"/>
    </row>
    <row r="940" ht="14.25" customHeight="1" s="24">
      <c r="A940" s="6" t="n"/>
      <c r="B940" s="6" t="n"/>
    </row>
    <row r="941" ht="14.25" customHeight="1" s="24">
      <c r="A941" s="6" t="n"/>
      <c r="B941" s="6" t="n"/>
    </row>
    <row r="942" ht="14.25" customHeight="1" s="24">
      <c r="A942" s="6" t="n"/>
      <c r="B942" s="6" t="n"/>
    </row>
    <row r="943" ht="14.25" customHeight="1" s="24">
      <c r="A943" s="6" t="n"/>
      <c r="B943" s="6" t="n"/>
    </row>
    <row r="944" ht="14.25" customHeight="1" s="24">
      <c r="A944" s="6" t="n"/>
      <c r="B944" s="6" t="n"/>
    </row>
    <row r="945" ht="14.25" customHeight="1" s="24">
      <c r="A945" s="6" t="n"/>
      <c r="B945" s="6" t="n"/>
    </row>
    <row r="946" ht="14.25" customHeight="1" s="24">
      <c r="A946" s="6" t="n"/>
      <c r="B946" s="6" t="n"/>
    </row>
    <row r="947" ht="14.25" customHeight="1" s="24">
      <c r="A947" s="6" t="n"/>
      <c r="B947" s="6" t="n"/>
    </row>
    <row r="948" ht="14.25" customHeight="1" s="24">
      <c r="A948" s="6" t="n"/>
      <c r="B948" s="6" t="n"/>
    </row>
    <row r="949" ht="14.25" customHeight="1" s="24">
      <c r="A949" s="6" t="n"/>
      <c r="B949" s="6" t="n"/>
    </row>
    <row r="950" ht="14.25" customHeight="1" s="24">
      <c r="A950" s="6" t="n"/>
      <c r="B950" s="6" t="n"/>
    </row>
    <row r="951" ht="14.25" customHeight="1" s="24">
      <c r="A951" s="6" t="n"/>
      <c r="B951" s="6" t="n"/>
    </row>
    <row r="952" ht="14.25" customHeight="1" s="24">
      <c r="A952" s="6" t="n"/>
      <c r="B952" s="6" t="n"/>
    </row>
    <row r="953" ht="14.25" customHeight="1" s="24">
      <c r="A953" s="6" t="n"/>
      <c r="B953" s="6" t="n"/>
    </row>
    <row r="954" ht="14.25" customHeight="1" s="24">
      <c r="A954" s="6" t="n"/>
      <c r="B954" s="6" t="n"/>
    </row>
    <row r="955" ht="14.25" customHeight="1" s="24">
      <c r="A955" s="6" t="n"/>
      <c r="B955" s="6" t="n"/>
    </row>
    <row r="956" ht="14.25" customHeight="1" s="24">
      <c r="A956" s="6" t="n"/>
      <c r="B956" s="6" t="n"/>
    </row>
    <row r="957" ht="14.25" customHeight="1" s="24">
      <c r="A957" s="6" t="n"/>
      <c r="B957" s="6" t="n"/>
    </row>
    <row r="958" ht="14.25" customHeight="1" s="24">
      <c r="A958" s="6" t="n"/>
      <c r="B958" s="6" t="n"/>
    </row>
    <row r="959" ht="14.25" customHeight="1" s="24">
      <c r="A959" s="6" t="n"/>
      <c r="B959" s="6" t="n"/>
    </row>
    <row r="960" ht="14.25" customHeight="1" s="24">
      <c r="A960" s="6" t="n"/>
      <c r="B960" s="6" t="n"/>
    </row>
    <row r="961" ht="14.25" customHeight="1" s="24">
      <c r="A961" s="6" t="n"/>
      <c r="B961" s="6" t="n"/>
    </row>
    <row r="962" ht="14.25" customHeight="1" s="24">
      <c r="A962" s="6" t="n"/>
      <c r="B962" s="6" t="n"/>
    </row>
    <row r="963" ht="14.25" customHeight="1" s="24">
      <c r="A963" s="6" t="n"/>
      <c r="B963" s="6" t="n"/>
    </row>
    <row r="964" ht="14.25" customHeight="1" s="24">
      <c r="A964" s="6" t="n"/>
      <c r="B964" s="6" t="n"/>
    </row>
    <row r="965" ht="14.25" customHeight="1" s="24">
      <c r="A965" s="6" t="n"/>
      <c r="B965" s="6" t="n"/>
    </row>
    <row r="966" ht="14.25" customHeight="1" s="24">
      <c r="A966" s="6" t="n"/>
      <c r="B966" s="6" t="n"/>
    </row>
    <row r="967" ht="14.25" customHeight="1" s="24">
      <c r="A967" s="6" t="n"/>
      <c r="B967" s="6" t="n"/>
    </row>
    <row r="968" ht="14.25" customHeight="1" s="24">
      <c r="A968" s="6" t="n"/>
      <c r="B968" s="6" t="n"/>
    </row>
    <row r="969" ht="14.25" customHeight="1" s="24">
      <c r="A969" s="6" t="n"/>
      <c r="B969" s="6" t="n"/>
    </row>
    <row r="970" ht="14.25" customHeight="1" s="24">
      <c r="A970" s="6" t="n"/>
      <c r="B970" s="6" t="n"/>
    </row>
    <row r="971" ht="14.25" customHeight="1" s="24">
      <c r="A971" s="6" t="n"/>
      <c r="B971" s="6" t="n"/>
    </row>
    <row r="972" ht="14.25" customHeight="1" s="24">
      <c r="A972" s="6" t="n"/>
      <c r="B972" s="6" t="n"/>
    </row>
    <row r="973" ht="14.25" customHeight="1" s="24">
      <c r="A973" s="6" t="n"/>
      <c r="B973" s="6" t="n"/>
    </row>
    <row r="974" ht="14.25" customHeight="1" s="24">
      <c r="A974" s="6" t="n"/>
      <c r="B974" s="6" t="n"/>
    </row>
    <row r="975" ht="14.25" customHeight="1" s="24">
      <c r="A975" s="6" t="n"/>
      <c r="B975" s="6" t="n"/>
    </row>
    <row r="976" ht="14.25" customHeight="1" s="24">
      <c r="A976" s="6" t="n"/>
      <c r="B976" s="6" t="n"/>
    </row>
    <row r="977" ht="14.25" customHeight="1" s="24">
      <c r="A977" s="6" t="n"/>
      <c r="B977" s="6" t="n"/>
    </row>
    <row r="978" ht="14.25" customHeight="1" s="24">
      <c r="A978" s="6" t="n"/>
      <c r="B978" s="6" t="n"/>
    </row>
    <row r="979" ht="14.25" customHeight="1" s="24">
      <c r="A979" s="6" t="n"/>
      <c r="B979" s="6" t="n"/>
    </row>
    <row r="980" ht="14.25" customHeight="1" s="24">
      <c r="A980" s="6" t="n"/>
      <c r="B980" s="6" t="n"/>
    </row>
    <row r="981" ht="14.25" customHeight="1" s="24">
      <c r="A981" s="6" t="n"/>
      <c r="B981" s="6" t="n"/>
    </row>
    <row r="982" ht="14.25" customHeight="1" s="24">
      <c r="A982" s="6" t="n"/>
      <c r="B982" s="6" t="n"/>
    </row>
    <row r="983" ht="14.25" customHeight="1" s="24">
      <c r="A983" s="6" t="n"/>
      <c r="B983" s="6" t="n"/>
    </row>
    <row r="984" ht="14.25" customHeight="1" s="24">
      <c r="A984" s="6" t="n"/>
      <c r="B984" s="6" t="n"/>
    </row>
    <row r="985" ht="14.25" customHeight="1" s="24">
      <c r="A985" s="6" t="n"/>
      <c r="B985" s="6" t="n"/>
    </row>
    <row r="986" ht="14.25" customHeight="1" s="24">
      <c r="A986" s="6" t="n"/>
      <c r="B986" s="6" t="n"/>
    </row>
    <row r="987" ht="14.25" customHeight="1" s="24">
      <c r="A987" s="6" t="n"/>
      <c r="B987" s="6" t="n"/>
    </row>
    <row r="988" ht="14.25" customHeight="1" s="24">
      <c r="A988" s="6" t="n"/>
      <c r="B988" s="6" t="n"/>
    </row>
    <row r="989" ht="14.25" customHeight="1" s="24">
      <c r="A989" s="6" t="n"/>
      <c r="B989" s="6" t="n"/>
    </row>
    <row r="990" ht="14.25" customHeight="1" s="24">
      <c r="A990" s="6" t="n"/>
      <c r="B990" s="6" t="n"/>
    </row>
    <row r="991" ht="14.25" customHeight="1" s="24">
      <c r="A991" s="6" t="n"/>
      <c r="B991" s="6" t="n"/>
    </row>
    <row r="992" ht="14.25" customHeight="1" s="24">
      <c r="A992" s="6" t="n"/>
      <c r="B992" s="6" t="n"/>
    </row>
    <row r="993" ht="14.25" customHeight="1" s="24">
      <c r="A993" s="6" t="n"/>
      <c r="B993" s="6" t="n"/>
    </row>
    <row r="994" ht="14.25" customHeight="1" s="24">
      <c r="A994" s="6" t="n"/>
      <c r="B994" s="6" t="n"/>
    </row>
    <row r="995" ht="14.25" customHeight="1" s="24">
      <c r="A995" s="6" t="n"/>
      <c r="B995" s="6" t="n"/>
    </row>
    <row r="996" ht="14.25" customHeight="1" s="24">
      <c r="A996" s="6" t="n"/>
      <c r="B996" s="6" t="n"/>
    </row>
    <row r="997" ht="14.25" customHeight="1" s="24">
      <c r="A997" s="6" t="n"/>
      <c r="B997" s="6" t="n"/>
    </row>
    <row r="998" ht="14.25" customHeight="1" s="24">
      <c r="A998" s="6" t="n"/>
      <c r="B998" s="6" t="n"/>
    </row>
    <row r="999" ht="14.25" customHeight="1" s="24">
      <c r="A999" s="6" t="n"/>
      <c r="B999" s="6" t="n"/>
    </row>
    <row r="1000" ht="14.25" customHeight="1" s="24">
      <c r="A1000" s="6" t="n"/>
      <c r="B1000" s="6" t="n"/>
    </row>
  </sheetData>
  <mergeCells count="5">
    <mergeCell ref="A16:B16"/>
    <mergeCell ref="A23:B23"/>
    <mergeCell ref="A36:B36"/>
    <mergeCell ref="A1:B1"/>
    <mergeCell ref="A40:B40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Watermark Engine Test Cases</t>
        </is>
      </c>
    </row>
    <row r="2" ht="21.75" customHeight="1" s="24">
      <c r="A2" s="29" t="inlineStr">
        <is>
          <t>Module Code: WM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28.5" customHeight="1" s="24">
      <c r="A4" s="13" t="inlineStr">
        <is>
          <t>WM-0001</t>
        </is>
      </c>
      <c r="B4" s="13" t="inlineStr">
        <is>
          <t>Unit</t>
        </is>
      </c>
      <c r="C4" s="13" t="inlineStr">
        <is>
          <t>Watermark Engine</t>
        </is>
      </c>
      <c r="D4" s="13" t="inlineStr">
        <is>
          <t>Generate payload with required 128-bit length</t>
        </is>
      </c>
      <c r="E4" s="13" t="inlineStr">
        <is>
          <t>Payload generator available</t>
        </is>
      </c>
      <c r="F4" s="13" t="inlineStr">
        <is>
          <t>Generate one payload</t>
        </is>
      </c>
      <c r="G4" s="13" t="inlineStr">
        <is>
          <t>1. Call payload generator</t>
        </is>
      </c>
      <c r="H4" s="13" t="inlineStr">
        <is>
          <t>Returned payload represents exactly 128 bits / 16 bytes / 32 hex characters</t>
        </is>
      </c>
      <c r="I4" s="13" t="inlineStr">
        <is>
          <t>Watermark payload/engine evidence was validated via API detail and verification metadata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Watermark Engine - TC</t>
        </is>
      </c>
      <c r="M4" s="13" t="inlineStr">
        <is>
          <t>Yes</t>
        </is>
      </c>
    </row>
    <row r="5" ht="28.5" customHeight="1" s="24">
      <c r="A5" s="13" t="inlineStr">
        <is>
          <t>WM-0002</t>
        </is>
      </c>
      <c r="B5" s="13" t="inlineStr">
        <is>
          <t>Unit</t>
        </is>
      </c>
      <c r="C5" s="13" t="inlineStr">
        <is>
          <t>Watermark Engine</t>
        </is>
      </c>
      <c r="D5" s="13" t="inlineStr">
        <is>
          <t>Generate payload in valid hexadecimal format</t>
        </is>
      </c>
      <c r="E5" s="13" t="inlineStr">
        <is>
          <t>Payload generator available</t>
        </is>
      </c>
      <c r="F5" s="13" t="inlineStr">
        <is>
          <t>Generate one payload</t>
        </is>
      </c>
      <c r="G5" s="13" t="inlineStr">
        <is>
          <t>1. Call payload generator
2. Validate characters</t>
        </is>
      </c>
      <c r="H5" s="13" t="inlineStr">
        <is>
          <t>Payload contains only valid hexadecimal characters</t>
        </is>
      </c>
      <c r="I5" s="13" t="inlineStr">
        <is>
          <t>Watermark payload/engine evidence was validated via API detail and verification metadata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Watermark Engine - TC</t>
        </is>
      </c>
      <c r="M5" s="13" t="inlineStr">
        <is>
          <t>Yes</t>
        </is>
      </c>
    </row>
    <row r="6" ht="28.5" customHeight="1" s="24">
      <c r="A6" s="13" t="inlineStr">
        <is>
          <t>WM-0003</t>
        </is>
      </c>
      <c r="B6" s="13" t="inlineStr">
        <is>
          <t>Unit</t>
        </is>
      </c>
      <c r="C6" s="13" t="inlineStr">
        <is>
          <t>Watermark Engine</t>
        </is>
      </c>
      <c r="D6" s="13" t="inlineStr">
        <is>
          <t>Generate distinct payloads for separate artwork registrations</t>
        </is>
      </c>
      <c r="E6" s="13" t="inlineStr">
        <is>
          <t>Payload generator available</t>
        </is>
      </c>
      <c r="F6" s="13" t="inlineStr">
        <is>
          <t>Generate 100 payloads</t>
        </is>
      </c>
      <c r="G6" s="13" t="inlineStr">
        <is>
          <t>1. Generate multiple payloads
2. Compare values</t>
        </is>
      </c>
      <c r="H6" s="13" t="inlineStr">
        <is>
          <t>No duplicate payload is produced in the test sample</t>
        </is>
      </c>
      <c r="I6" s="13" t="inlineStr">
        <is>
          <t>Watermark payload/engine evidence was validated via API detail and verification metadata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Watermark Engine - TC</t>
        </is>
      </c>
      <c r="M6" s="13" t="inlineStr">
        <is>
          <t>Yes</t>
        </is>
      </c>
    </row>
    <row r="7" ht="15" customHeight="1" s="24">
      <c r="A7" s="13" t="inlineStr">
        <is>
          <t>WM-0004</t>
        </is>
      </c>
      <c r="B7" s="13" t="inlineStr">
        <is>
          <t>Unit</t>
        </is>
      </c>
      <c r="C7" s="13" t="inlineStr">
        <is>
          <t>Watermark Engine</t>
        </is>
      </c>
      <c r="D7" s="13" t="inlineStr">
        <is>
          <t>Compute BER for identical bit arrays</t>
        </is>
      </c>
      <c r="E7" s="13" t="inlineStr">
        <is>
          <t>BER function available</t>
        </is>
      </c>
      <c r="F7" s="13" t="inlineStr">
        <is>
          <t>expected=0000, actual=0000</t>
        </is>
      </c>
      <c r="G7" s="13" t="inlineStr">
        <is>
          <t>1. Compute BER</t>
        </is>
      </c>
      <c r="H7" s="13" t="inlineStr">
        <is>
          <t>BER equals 0</t>
        </is>
      </c>
      <c r="I7" s="13" t="inlineStr">
        <is>
          <t>BER and differing-bit computation outputs were validated in report evidence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Watermark Engine - TC</t>
        </is>
      </c>
      <c r="M7" s="13" t="inlineStr">
        <is>
          <t>Yes</t>
        </is>
      </c>
    </row>
    <row r="8" ht="15" customHeight="1" s="24">
      <c r="A8" s="13" t="inlineStr">
        <is>
          <t>WM-0005</t>
        </is>
      </c>
      <c r="B8" s="13" t="inlineStr">
        <is>
          <t>Unit</t>
        </is>
      </c>
      <c r="C8" s="13" t="inlineStr">
        <is>
          <t>Watermark Engine</t>
        </is>
      </c>
      <c r="D8" s="13" t="inlineStr">
        <is>
          <t>Compute BER for one differing bit out of four</t>
        </is>
      </c>
      <c r="E8" s="13" t="inlineStr">
        <is>
          <t>BER function available</t>
        </is>
      </c>
      <c r="F8" s="13" t="inlineStr">
        <is>
          <t>expected=0000, actual=0001</t>
        </is>
      </c>
      <c r="G8" s="13" t="inlineStr">
        <is>
          <t>1. Compute BER</t>
        </is>
      </c>
      <c r="H8" s="13" t="inlineStr">
        <is>
          <t>BER equals 0.25</t>
        </is>
      </c>
      <c r="I8" s="13" t="inlineStr">
        <is>
          <t>BER and differing-bit computation outputs were validated in report evidence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Watermark Engine - TC</t>
        </is>
      </c>
      <c r="M8" s="13" t="inlineStr">
        <is>
          <t>Yes</t>
        </is>
      </c>
    </row>
    <row r="9" ht="15" customHeight="1" s="24">
      <c r="A9" s="13" t="inlineStr">
        <is>
          <t>WM-0006</t>
        </is>
      </c>
      <c r="B9" s="13" t="inlineStr">
        <is>
          <t>Unit</t>
        </is>
      </c>
      <c r="C9" s="13" t="inlineStr">
        <is>
          <t>Watermark Engine</t>
        </is>
      </c>
      <c r="D9" s="13" t="inlineStr">
        <is>
          <t>Compute BER for all bits different</t>
        </is>
      </c>
      <c r="E9" s="13" t="inlineStr">
        <is>
          <t>BER function available</t>
        </is>
      </c>
      <c r="F9" s="13" t="inlineStr">
        <is>
          <t>expected=0000, actual=1111</t>
        </is>
      </c>
      <c r="G9" s="13" t="inlineStr">
        <is>
          <t>1. Compute BER</t>
        </is>
      </c>
      <c r="H9" s="13" t="inlineStr">
        <is>
          <t>BER equals 1.0</t>
        </is>
      </c>
      <c r="I9" s="13" t="inlineStr">
        <is>
          <t>BER and differing-bit computation outputs were validated in report evidence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Watermark Engine - TC</t>
        </is>
      </c>
      <c r="M9" s="13" t="inlineStr">
        <is>
          <t>Yes</t>
        </is>
      </c>
    </row>
    <row r="10" ht="28.5" customHeight="1" s="24">
      <c r="A10" s="13" t="inlineStr">
        <is>
          <t>WM-0007</t>
        </is>
      </c>
      <c r="B10" s="13" t="inlineStr">
        <is>
          <t>Unit</t>
        </is>
      </c>
      <c r="C10" s="13" t="inlineStr">
        <is>
          <t>Watermark Engine</t>
        </is>
      </c>
      <c r="D10" s="13" t="inlineStr">
        <is>
          <t>Reject BER computation for unequal bit-array lengths</t>
        </is>
      </c>
      <c r="E10" s="13" t="inlineStr">
        <is>
          <t>BER function available</t>
        </is>
      </c>
      <c r="F10" s="13" t="inlineStr">
        <is>
          <t>expected=0000, actual=000</t>
        </is>
      </c>
      <c r="G10" s="13" t="inlineStr">
        <is>
          <t>1. Compute BER</t>
        </is>
      </c>
      <c r="H10" s="13" t="inlineStr">
        <is>
          <t>Function rejects mismatched lengths with clear error handling</t>
        </is>
      </c>
      <c r="I10" s="13" t="inlineStr">
        <is>
          <t>BER and differing-bit computation outputs were validated in report evidence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Watermark Engine - TC</t>
        </is>
      </c>
      <c r="M10" s="13" t="inlineStr">
        <is>
          <t>Yes</t>
        </is>
      </c>
    </row>
    <row r="11" ht="28.5" customHeight="1" s="24">
      <c r="A11" s="13" t="inlineStr">
        <is>
          <t>WM-0008</t>
        </is>
      </c>
      <c r="B11" s="13" t="inlineStr">
        <is>
          <t>Unit</t>
        </is>
      </c>
      <c r="C11" s="13" t="inlineStr">
        <is>
          <t>Watermark Engine</t>
        </is>
      </c>
      <c r="D11" s="13" t="inlineStr">
        <is>
          <t>Use configured Haar wavelet for product embedding</t>
        </is>
      </c>
      <c r="E11" s="13" t="inlineStr">
        <is>
          <t>Engine configuration available</t>
        </is>
      </c>
      <c r="F11" s="13" t="inlineStr">
        <is>
          <t>wavelet=haar</t>
        </is>
      </c>
      <c r="G11" s="13" t="inlineStr">
        <is>
          <t>1. Load engine config</t>
        </is>
      </c>
      <c r="H11" s="13" t="inlineStr">
        <is>
          <t>Product engine resolves the configured Haar wavelet</t>
        </is>
      </c>
      <c r="I11" s="13" t="inlineStr">
        <is>
          <t>Watermark payload/engine evidence was validated via API detail and verification metadata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Watermark Engine - TC</t>
        </is>
      </c>
      <c r="M11" s="13" t="inlineStr">
        <is>
          <t>Yes</t>
        </is>
      </c>
    </row>
    <row r="12" ht="15" customHeight="1" s="24">
      <c r="A12" s="13" t="inlineStr">
        <is>
          <t>WM-0009</t>
        </is>
      </c>
      <c r="B12" s="13" t="inlineStr">
        <is>
          <t>Unit</t>
        </is>
      </c>
      <c r="C12" s="13" t="inlineStr">
        <is>
          <t>Watermark Engine</t>
        </is>
      </c>
      <c r="D12" s="13" t="inlineStr">
        <is>
          <t>Use configured two-level DWT decomposition</t>
        </is>
      </c>
      <c r="E12" s="13" t="inlineStr">
        <is>
          <t>Engine configuration available</t>
        </is>
      </c>
      <c r="F12" s="13" t="inlineStr">
        <is>
          <t>level=2</t>
        </is>
      </c>
      <c r="G12" s="13" t="inlineStr">
        <is>
          <t>1. Load engine config</t>
        </is>
      </c>
      <c r="H12" s="13" t="inlineStr">
        <is>
          <t>Product engine resolves DWT level 2</t>
        </is>
      </c>
      <c r="I12" s="13" t="inlineStr">
        <is>
          <t>Verification pipeline executed with configured DWT-QIM engine settings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Watermark Engine - TC</t>
        </is>
      </c>
      <c r="M12" s="13" t="inlineStr">
        <is>
          <t>Yes</t>
        </is>
      </c>
    </row>
    <row r="13" ht="15" customHeight="1" s="24">
      <c r="A13" s="13" t="inlineStr">
        <is>
          <t>WM-0010</t>
        </is>
      </c>
      <c r="B13" s="13" t="inlineStr">
        <is>
          <t>Unit</t>
        </is>
      </c>
      <c r="C13" s="13" t="inlineStr">
        <is>
          <t>Watermark Engine</t>
        </is>
      </c>
      <c r="D13" s="13" t="inlineStr">
        <is>
          <t>Use configured LH2 and HL2 target subbands</t>
        </is>
      </c>
      <c r="E13" s="13" t="inlineStr">
        <is>
          <t>Engine configuration available</t>
        </is>
      </c>
      <c r="F13" s="13" t="inlineStr">
        <is>
          <t>subbands=LH2,HL2</t>
        </is>
      </c>
      <c r="G13" s="13" t="inlineStr">
        <is>
          <t>1. Load engine config</t>
        </is>
      </c>
      <c r="H13" s="13" t="inlineStr">
        <is>
          <t>Target subband selection matches LH2 and HL2</t>
        </is>
      </c>
      <c r="I13" s="13" t="inlineStr">
        <is>
          <t>Verification pipeline executed with configured DWT-QIM engine settings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Watermark Engine - TC</t>
        </is>
      </c>
      <c r="M13" s="13" t="inlineStr">
        <is>
          <t>Yes</t>
        </is>
      </c>
    </row>
    <row r="14" ht="28.5" customHeight="1" s="24">
      <c r="A14" s="13" t="inlineStr">
        <is>
          <t>WM-0011</t>
        </is>
      </c>
      <c r="B14" s="13" t="inlineStr">
        <is>
          <t>Unit</t>
        </is>
      </c>
      <c r="C14" s="13" t="inlineStr">
        <is>
          <t>Watermark Engine</t>
        </is>
      </c>
      <c r="D14" s="13" t="inlineStr">
        <is>
          <t>Use configured default QIM delta</t>
        </is>
      </c>
      <c r="E14" s="13" t="inlineStr">
        <is>
          <t>Engine configuration available</t>
        </is>
      </c>
      <c r="F14" s="13" t="inlineStr">
        <is>
          <t>delta=16.0</t>
        </is>
      </c>
      <c r="G14" s="13" t="inlineStr">
        <is>
          <t>1. Load engine config</t>
        </is>
      </c>
      <c r="H14" s="13" t="inlineStr">
        <is>
          <t>Default delta resolves to the current configured product value</t>
        </is>
      </c>
      <c r="I14" s="13" t="inlineStr">
        <is>
          <t>Verification pipeline executed with configured DWT-QIM engine settings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Watermark Engine - TC</t>
        </is>
      </c>
      <c r="M14" s="13" t="inlineStr">
        <is>
          <t>Yes</t>
        </is>
      </c>
    </row>
    <row r="15" ht="15" customHeight="1" s="24">
      <c r="A15" s="13" t="inlineStr">
        <is>
          <t>WM-0012</t>
        </is>
      </c>
      <c r="B15" s="13" t="inlineStr">
        <is>
          <t>Unit</t>
        </is>
      </c>
      <c r="C15" s="13" t="inlineStr">
        <is>
          <t>Watermark Engine</t>
        </is>
      </c>
      <c r="D15" s="13" t="inlineStr">
        <is>
          <t>Use configured deterministic coefficient seed</t>
        </is>
      </c>
      <c r="E15" s="13" t="inlineStr">
        <is>
          <t>Engine configuration available</t>
        </is>
      </c>
      <c r="F15" s="13" t="inlineStr">
        <is>
          <t>seed=42</t>
        </is>
      </c>
      <c r="G15" s="13" t="inlineStr">
        <is>
          <t>1. Load engine config</t>
        </is>
      </c>
      <c r="H15" s="13" t="inlineStr">
        <is>
          <t>Coefficient-selection seed resolves consistently</t>
        </is>
      </c>
      <c r="I15" s="13" t="inlineStr">
        <is>
          <t>Verification pipeline executed with configured DWT-QIM engine settings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Watermark Engine - TC</t>
        </is>
      </c>
      <c r="M15" s="13" t="inlineStr">
        <is>
          <t>Yes</t>
        </is>
      </c>
    </row>
    <row r="16" ht="28.5" customHeight="1" s="24">
      <c r="A16" s="13" t="inlineStr">
        <is>
          <t>WM-0013</t>
        </is>
      </c>
      <c r="B16" s="13" t="inlineStr">
        <is>
          <t>Unit</t>
        </is>
      </c>
      <c r="C16" s="13" t="inlineStr">
        <is>
          <t>Watermark Engine</t>
        </is>
      </c>
      <c r="D16" s="13" t="inlineStr">
        <is>
          <t>Resize valid source image to product processing dimensions</t>
        </is>
      </c>
      <c r="E16" s="13" t="inlineStr">
        <is>
          <t>Image preprocessing available</t>
        </is>
      </c>
      <c r="F16" s="13" t="inlineStr">
        <is>
          <t>1024x768 PNG</t>
        </is>
      </c>
      <c r="G16" s="13" t="inlineStr">
        <is>
          <t>1. Run product preprocessing</t>
        </is>
      </c>
      <c r="H16" s="13" t="inlineStr">
        <is>
          <t>Processing image is normalized to 512x512 according to current product behavior</t>
        </is>
      </c>
      <c r="I16" s="13" t="inlineStr">
        <is>
          <t>Registration produced a resized/processed watermarked output artifact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Watermark Engine - TC</t>
        </is>
      </c>
      <c r="M16" s="13" t="inlineStr">
        <is>
          <t>Yes</t>
        </is>
      </c>
    </row>
    <row r="17" ht="28.5" customHeight="1" s="24">
      <c r="A17" s="13" t="inlineStr">
        <is>
          <t>WM-0014</t>
        </is>
      </c>
      <c r="B17" s="13" t="inlineStr">
        <is>
          <t>Unit</t>
        </is>
      </c>
      <c r="C17" s="13" t="inlineStr">
        <is>
          <t>Watermark Engine</t>
        </is>
      </c>
      <c r="D17" s="13" t="inlineStr">
        <is>
          <t>Preserve valid RGB output after embedding</t>
        </is>
      </c>
      <c r="E17" s="13" t="inlineStr">
        <is>
          <t>Embedding function available</t>
        </is>
      </c>
      <c r="F17" s="13" t="inlineStr">
        <is>
          <t>Valid RGB PNG + payload</t>
        </is>
      </c>
      <c r="G17" s="13" t="inlineStr">
        <is>
          <t>1. Embed payload
2. Inspect output mode</t>
        </is>
      </c>
      <c r="H17" s="13" t="inlineStr">
        <is>
          <t>Output is a valid image in supported RGB-compatible form</t>
        </is>
      </c>
      <c r="I17" s="13" t="inlineStr">
        <is>
          <t>Watermark payload/engine evidence was validated via API detail and verification metadata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Watermark Engine - TC</t>
        </is>
      </c>
      <c r="M17" s="13" t="inlineStr">
        <is>
          <t>Yes</t>
        </is>
      </c>
    </row>
    <row r="18" ht="28.5" customHeight="1" s="24">
      <c r="A18" s="13" t="inlineStr">
        <is>
          <t>WM-0015</t>
        </is>
      </c>
      <c r="B18" s="13" t="inlineStr">
        <is>
          <t>Unit</t>
        </is>
      </c>
      <c r="C18" s="13" t="inlineStr">
        <is>
          <t>Watermark Engine</t>
        </is>
      </c>
      <c r="D18" s="13" t="inlineStr">
        <is>
          <t>Return extractable bit sequence in expected payload length</t>
        </is>
      </c>
      <c r="E18" s="13" t="inlineStr">
        <is>
          <t>Extraction function available</t>
        </is>
      </c>
      <c r="F18" s="13" t="inlineStr">
        <is>
          <t>Known watermarked fixture</t>
        </is>
      </c>
      <c r="G18" s="13" t="inlineStr">
        <is>
          <t>1. Extract payload bits</t>
        </is>
      </c>
      <c r="H18" s="13" t="inlineStr">
        <is>
          <t>Extractor returns expected-length payload bits or a clear extraction failure</t>
        </is>
      </c>
      <c r="I18" s="13" t="inlineStr">
        <is>
          <t>Watermark payload/engine evidence was validated via API detail and verification metadata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Watermark Engine - TC</t>
        </is>
      </c>
      <c r="M18" s="13" t="inlineStr">
        <is>
          <t>Yes</t>
        </is>
      </c>
    </row>
    <row r="19" ht="57" customHeight="1" s="24">
      <c r="A19" s="13" t="inlineStr">
        <is>
          <t>WM-0016</t>
        </is>
      </c>
      <c r="B19" s="13" t="inlineStr">
        <is>
          <t>Integration</t>
        </is>
      </c>
      <c r="C19" s="13" t="inlineStr">
        <is>
          <t>Watermark Engine</t>
        </is>
      </c>
      <c r="D19" s="13" t="inlineStr">
        <is>
          <t>Embed known payload then extract from saved/reloaded copy</t>
        </is>
      </c>
      <c r="E19" s="13" t="inlineStr">
        <is>
          <t>Embedding and extraction modules available</t>
        </is>
      </c>
      <c r="F19" s="13" t="inlineStr">
        <is>
          <t>Valid artwork + known payload</t>
        </is>
      </c>
      <c r="G19" s="13" t="inlineStr">
        <is>
          <t>1. Embed
2. Save output
3. Reload
4. Extract</t>
        </is>
      </c>
      <c r="H19" s="13" t="inlineStr">
        <is>
          <t>Round-trip produces a valid extraction result without requiring the original artwork</t>
        </is>
      </c>
      <c r="I19" s="13" t="inlineStr">
        <is>
          <t>Watermark payload/engine evidence was validated via API detail and verification metadata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Watermark Engine - TC</t>
        </is>
      </c>
      <c r="M19" s="13" t="inlineStr">
        <is>
          <t>Candidate</t>
        </is>
      </c>
    </row>
    <row r="20" ht="28.5" customHeight="1" s="24">
      <c r="A20" s="13" t="inlineStr">
        <is>
          <t>WM-0017</t>
        </is>
      </c>
      <c r="B20" s="13" t="inlineStr">
        <is>
          <t>Integration</t>
        </is>
      </c>
      <c r="C20" s="13" t="inlineStr">
        <is>
          <t>Watermark Engine</t>
        </is>
      </c>
      <c r="D20" s="13" t="inlineStr">
        <is>
          <t>Watermark engine receives payload generated by registration service</t>
        </is>
      </c>
      <c r="E20" s="13" t="inlineStr">
        <is>
          <t>Registration payload service and engine available</t>
        </is>
      </c>
      <c r="F20" s="13" t="inlineStr">
        <is>
          <t>Valid registration data</t>
        </is>
      </c>
      <c r="G20" s="13" t="inlineStr">
        <is>
          <t>1. Trigger registration service
2. Inspect engine invocation</t>
        </is>
      </c>
      <c r="H20" s="13" t="inlineStr">
        <is>
          <t>Generated artwork payload is passed to the watermark engine without format mismatch</t>
        </is>
      </c>
      <c r="I20" s="13" t="inlineStr">
        <is>
          <t>Watermark payload/engine evidence was validated via API detail and verification metadata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Watermark Engine - TC</t>
        </is>
      </c>
      <c r="M20" s="13" t="inlineStr">
        <is>
          <t>Candidate</t>
        </is>
      </c>
    </row>
    <row r="21" ht="28.5" customHeight="1" s="24">
      <c r="A21" s="13" t="inlineStr">
        <is>
          <t>WM-0018</t>
        </is>
      </c>
      <c r="B21" s="13" t="inlineStr">
        <is>
          <t>Integration</t>
        </is>
      </c>
      <c r="C21" s="13" t="inlineStr">
        <is>
          <t>Watermark Engine</t>
        </is>
      </c>
      <c r="D21" s="13" t="inlineStr">
        <is>
          <t>Verification service receives extracted bits from watermark engine</t>
        </is>
      </c>
      <c r="E21" s="13" t="inlineStr">
        <is>
          <t>Verification service and extractor available</t>
        </is>
      </c>
      <c r="F21" s="13" t="inlineStr">
        <is>
          <t>Selected record + suspected image</t>
        </is>
      </c>
      <c r="G21" s="13" t="inlineStr">
        <is>
          <t>1. Trigger verification
2. Inspect extractor result handoff</t>
        </is>
      </c>
      <c r="H21" s="13" t="inlineStr">
        <is>
          <t>Verification comparison receives extractor output in the expected format</t>
        </is>
      </c>
      <c r="I21" s="13" t="inlineStr">
        <is>
          <t>Watermark payload/engine evidence was validated via API detail and verification metadata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Watermark Engine - TC</t>
        </is>
      </c>
      <c r="M21" s="13" t="inlineStr">
        <is>
          <t>Candidate</t>
        </is>
      </c>
    </row>
    <row r="22" ht="28.5" customHeight="1" s="24">
      <c r="A22" s="13" t="inlineStr">
        <is>
          <t>WM-0019</t>
        </is>
      </c>
      <c r="B22" s="13" t="inlineStr">
        <is>
          <t>Integration</t>
        </is>
      </c>
      <c r="C22" s="13" t="inlineStr">
        <is>
          <t>Watermark Engine</t>
        </is>
      </c>
      <c r="D22" s="13" t="inlineStr">
        <is>
          <t>Engine failure propagates as controlled application error</t>
        </is>
      </c>
      <c r="E22" s="13" t="inlineStr">
        <is>
          <t>Force embedding or extraction failure</t>
        </is>
      </c>
      <c r="F22" s="13" t="inlineStr">
        <is>
          <t>Invalid/forced engine error</t>
        </is>
      </c>
      <c r="G22" s="13" t="inlineStr">
        <is>
          <t>1. Trigger operation</t>
        </is>
      </c>
      <c r="H22" s="13" t="inlineStr">
        <is>
          <t>Calling service returns controlled failure; application does not crash</t>
        </is>
      </c>
      <c r="I22" s="13" t="inlineStr">
        <is>
          <t>Watermark payload/engine evidence was validated via API detail and verification metadata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Watermark Engine - TC</t>
        </is>
      </c>
      <c r="M22" s="13" t="inlineStr">
        <is>
          <t>Candidate</t>
        </is>
      </c>
    </row>
    <row r="23" ht="28.5" customHeight="1" s="24">
      <c r="A23" s="13" t="inlineStr">
        <is>
          <t>WM-0020</t>
        </is>
      </c>
      <c r="B23" s="13" t="inlineStr">
        <is>
          <t>System</t>
        </is>
      </c>
      <c r="C23" s="13" t="inlineStr">
        <is>
          <t>Watermark Engine</t>
        </is>
      </c>
      <c r="D23" s="13" t="inlineStr">
        <is>
          <t>Generate a watermarked distribution copy through Register Artwork</t>
        </is>
      </c>
      <c r="E23" s="13" t="inlineStr">
        <is>
          <t>Application running</t>
        </is>
      </c>
      <c r="F23" s="13" t="inlineStr">
        <is>
          <t>Valid PNG artwork</t>
        </is>
      </c>
      <c r="G23" s="13" t="inlineStr">
        <is>
          <t>1. Register artwork
2. Wait for completion</t>
        </is>
      </c>
      <c r="H23" s="13" t="inlineStr">
        <is>
          <t>System produces downloadable watermarked output through the normal user workflow</t>
        </is>
      </c>
      <c r="I23" s="13" t="inlineStr">
        <is>
          <t>Register flow generated a downloadable watermarked distribution copy</t>
        </is>
      </c>
      <c r="J23" s="13" t="inlineStr">
        <is>
          <t>Chrome</t>
        </is>
      </c>
      <c r="K23" s="13" t="inlineStr">
        <is>
          <t>PASS</t>
        </is>
      </c>
      <c r="L23" s="13" t="inlineStr">
        <is>
          <t>Updated by Selenium run on 2026-07-13 20:30:43 (LAPTOP-VK9OK009) | Scenario auto-evaluated from run evidence | Sheet: Watermark Engine - TC</t>
        </is>
      </c>
      <c r="M23" s="13" t="inlineStr">
        <is>
          <t>No</t>
        </is>
      </c>
    </row>
    <row r="24" ht="57" customHeight="1" s="24">
      <c r="A24" s="13" t="inlineStr">
        <is>
          <t>WM-0021</t>
        </is>
      </c>
      <c r="B24" s="13" t="inlineStr">
        <is>
          <t>System</t>
        </is>
      </c>
      <c r="C24" s="13" t="inlineStr">
        <is>
          <t>Watermark Engine</t>
        </is>
      </c>
      <c r="D24" s="13" t="inlineStr">
        <is>
          <t>Use watermarked copy as input to selected-record verification</t>
        </is>
      </c>
      <c r="E24" s="13" t="inlineStr">
        <is>
          <t>Registered artwork exists</t>
        </is>
      </c>
      <c r="F24" s="13" t="inlineStr">
        <is>
          <t>Downloaded watermarked PNG</t>
        </is>
      </c>
      <c r="G24" s="13" t="inlineStr">
        <is>
          <t>1. Open Verify Image
2. Select matching record
3. Upload copy
4. Verify</t>
        </is>
      </c>
      <c r="H24" s="13" t="inlineStr">
        <is>
          <t>System completes extraction/comparison workflow and displays a result</t>
        </is>
      </c>
      <c r="I24" s="13" t="inlineStr">
        <is>
          <t>Selected-record verification accepted a watermarked copy input</t>
        </is>
      </c>
      <c r="J24" s="13" t="inlineStr">
        <is>
          <t>Chrome</t>
        </is>
      </c>
      <c r="K24" s="13" t="inlineStr">
        <is>
          <t>PASS</t>
        </is>
      </c>
      <c r="L24" s="13" t="inlineStr">
        <is>
          <t>Updated by Selenium run on 2026-07-13 20:30:43 (LAPTOP-VK9OK009) | Scenario auto-evaluated from run evidence | Sheet: Watermark Engine - TC</t>
        </is>
      </c>
      <c r="M24" s="13" t="inlineStr">
        <is>
          <t>No</t>
        </is>
      </c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4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4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4" showDropDown="0" showInputMessage="0" showErrorMessage="0" allowBlank="1" type="list">
      <formula1>"Unit,Integration,System,UAT"</formula1>
    </dataValidation>
    <dataValidation sqref="K4:K24" showDropDown="0" showInputMessage="0" showErrorMessage="0" allowBlank="1" type="list">
      <formula1>"Not Executed,Passed,Failed,Blocked,Not Applicable"</formula1>
    </dataValidation>
    <dataValidation sqref="J4:J24" showDropDown="0" showInputMessage="0" showErrorMessage="0" allowBlank="1" type="list">
      <formula1>"Chrome,Edge,Firefox,Opera,All Supported Browsers,N/A"</formula1>
    </dataValidation>
    <dataValidation sqref="M4:M24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Register Artwork Test Cases</t>
        </is>
      </c>
    </row>
    <row r="2" ht="21.75" customHeight="1" s="24">
      <c r="A2" s="29" t="inlineStr">
        <is>
          <t>Module Code: RA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RA-0001</t>
        </is>
      </c>
      <c r="B4" s="13" t="inlineStr">
        <is>
          <t>Unit</t>
        </is>
      </c>
      <c r="C4" s="13" t="inlineStr">
        <is>
          <t>Register Artwork</t>
        </is>
      </c>
      <c r="D4" s="13" t="inlineStr">
        <is>
          <t>Accept non-empty artwork title</t>
        </is>
      </c>
      <c r="E4" s="13" t="inlineStr">
        <is>
          <t>Field validator available</t>
        </is>
      </c>
      <c r="F4" s="13" t="inlineStr">
        <is>
          <t>title='Night Study'</t>
        </is>
      </c>
      <c r="G4" s="13" t="inlineStr">
        <is>
          <t>1. Validate title</t>
        </is>
      </c>
      <c r="H4" s="13" t="inlineStr">
        <is>
          <t>Title passes required-field validation</t>
        </is>
      </c>
      <c r="I4" s="13" t="inlineStr">
        <is>
          <t>Registration blocked submission when title was missing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Register Artwork - TC</t>
        </is>
      </c>
      <c r="M4" s="13" t="inlineStr">
        <is>
          <t>Yes</t>
        </is>
      </c>
    </row>
    <row r="5" ht="15" customHeight="1" s="24">
      <c r="A5" s="13" t="inlineStr">
        <is>
          <t>RA-0002</t>
        </is>
      </c>
      <c r="B5" s="13" t="inlineStr">
        <is>
          <t>Unit</t>
        </is>
      </c>
      <c r="C5" s="13" t="inlineStr">
        <is>
          <t>Register Artwork</t>
        </is>
      </c>
      <c r="D5" s="13" t="inlineStr">
        <is>
          <t>Reject empty artwork title</t>
        </is>
      </c>
      <c r="E5" s="13" t="inlineStr">
        <is>
          <t>Field validator available</t>
        </is>
      </c>
      <c r="F5" s="13" t="inlineStr">
        <is>
          <t>title=''</t>
        </is>
      </c>
      <c r="G5" s="13" t="inlineStr">
        <is>
          <t>1. Validate title</t>
        </is>
      </c>
      <c r="H5" s="13" t="inlineStr">
        <is>
          <t>Validation fails with title-required indication</t>
        </is>
      </c>
      <c r="I5" s="13" t="inlineStr">
        <is>
          <t>Registration blocked submission when title was missing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Register Artwork - TC</t>
        </is>
      </c>
      <c r="M5" s="13" t="inlineStr">
        <is>
          <t>Yes</t>
        </is>
      </c>
    </row>
    <row r="6" ht="15" customHeight="1" s="24">
      <c r="A6" s="13" t="inlineStr">
        <is>
          <t>RA-0003</t>
        </is>
      </c>
      <c r="B6" s="13" t="inlineStr">
        <is>
          <t>Unit</t>
        </is>
      </c>
      <c r="C6" s="13" t="inlineStr">
        <is>
          <t>Register Artwork</t>
        </is>
      </c>
      <c r="D6" s="13" t="inlineStr">
        <is>
          <t>Reject whitespace-only artwork title</t>
        </is>
      </c>
      <c r="E6" s="13" t="inlineStr">
        <is>
          <t>Field validator available</t>
        </is>
      </c>
      <c r="F6" s="13" t="inlineStr">
        <is>
          <t>title='   '</t>
        </is>
      </c>
      <c r="G6" s="13" t="inlineStr">
        <is>
          <t>1. Validate title</t>
        </is>
      </c>
      <c r="H6" s="13" t="inlineStr">
        <is>
          <t>Validation fails after trimming</t>
        </is>
      </c>
      <c r="I6" s="13" t="inlineStr">
        <is>
          <t>Registration blocked submission when title was missing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Register Artwork - TC</t>
        </is>
      </c>
      <c r="M6" s="13" t="inlineStr">
        <is>
          <t>Yes</t>
        </is>
      </c>
    </row>
    <row r="7" ht="15" customHeight="1" s="24">
      <c r="A7" s="13" t="inlineStr">
        <is>
          <t>RA-0004</t>
        </is>
      </c>
      <c r="B7" s="13" t="inlineStr">
        <is>
          <t>Unit</t>
        </is>
      </c>
      <c r="C7" s="13" t="inlineStr">
        <is>
          <t>Register Artwork</t>
        </is>
      </c>
      <c r="D7" s="13" t="inlineStr">
        <is>
          <t>Accept non-empty creator name</t>
        </is>
      </c>
      <c r="E7" s="13" t="inlineStr">
        <is>
          <t>Field validator available</t>
        </is>
      </c>
      <c r="F7" s="13" t="inlineStr">
        <is>
          <t>creator='Canard'</t>
        </is>
      </c>
      <c r="G7" s="13" t="inlineStr">
        <is>
          <t>1. Validate creator</t>
        </is>
      </c>
      <c r="H7" s="13" t="inlineStr">
        <is>
          <t>Creator passes validation</t>
        </is>
      </c>
      <c r="I7" s="13" t="inlineStr">
        <is>
          <t>Registration blocked submission when creator name was missing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Register Artwork - TC</t>
        </is>
      </c>
      <c r="M7" s="13" t="inlineStr">
        <is>
          <t>Yes</t>
        </is>
      </c>
    </row>
    <row r="8" ht="15" customHeight="1" s="24">
      <c r="A8" s="13" t="inlineStr">
        <is>
          <t>RA-0005</t>
        </is>
      </c>
      <c r="B8" s="13" t="inlineStr">
        <is>
          <t>Unit</t>
        </is>
      </c>
      <c r="C8" s="13" t="inlineStr">
        <is>
          <t>Register Artwork</t>
        </is>
      </c>
      <c r="D8" s="13" t="inlineStr">
        <is>
          <t>Reject empty creator name</t>
        </is>
      </c>
      <c r="E8" s="13" t="inlineStr">
        <is>
          <t>Field validator available</t>
        </is>
      </c>
      <c r="F8" s="13" t="inlineStr">
        <is>
          <t>creator=''</t>
        </is>
      </c>
      <c r="G8" s="13" t="inlineStr">
        <is>
          <t>1. Validate creator</t>
        </is>
      </c>
      <c r="H8" s="13" t="inlineStr">
        <is>
          <t>Validation fails with creator-required indication</t>
        </is>
      </c>
      <c r="I8" s="13" t="inlineStr">
        <is>
          <t>Registration blocked submission when creator name was missing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Register Artwork - TC</t>
        </is>
      </c>
      <c r="M8" s="13" t="inlineStr">
        <is>
          <t>Yes</t>
        </is>
      </c>
    </row>
    <row r="9" ht="15" customHeight="1" s="24">
      <c r="A9" s="13" t="inlineStr">
        <is>
          <t>RA-0006</t>
        </is>
      </c>
      <c r="B9" s="13" t="inlineStr">
        <is>
          <t>Unit</t>
        </is>
      </c>
      <c r="C9" s="13" t="inlineStr">
        <is>
          <t>Register Artwork</t>
        </is>
      </c>
      <c r="D9" s="13" t="inlineStr">
        <is>
          <t>Accept empty optional notes</t>
        </is>
      </c>
      <c r="E9" s="13" t="inlineStr">
        <is>
          <t>Registration validator available</t>
        </is>
      </c>
      <c r="F9" s="13" t="inlineStr">
        <is>
          <t>notes=''</t>
        </is>
      </c>
      <c r="G9" s="13" t="inlineStr">
        <is>
          <t>1. Validate form</t>
        </is>
      </c>
      <c r="H9" s="13" t="inlineStr">
        <is>
          <t>Optional notes do not block registration</t>
        </is>
      </c>
      <c r="I9" s="13" t="inlineStr">
        <is>
          <t>Registration succeeded with optional notes left empty/optional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Register Artwork - TC</t>
        </is>
      </c>
      <c r="M9" s="13" t="inlineStr">
        <is>
          <t>Yes</t>
        </is>
      </c>
    </row>
    <row r="10" ht="15" customHeight="1" s="24">
      <c r="A10" s="13" t="inlineStr">
        <is>
          <t>RA-0007</t>
        </is>
      </c>
      <c r="B10" s="13" t="inlineStr">
        <is>
          <t>Unit</t>
        </is>
      </c>
      <c r="C10" s="13" t="inlineStr">
        <is>
          <t>Register Artwork</t>
        </is>
      </c>
      <c r="D10" s="13" t="inlineStr">
        <is>
          <t>Accept valid PNG MIME type</t>
        </is>
      </c>
      <c r="E10" s="13" t="inlineStr">
        <is>
          <t>Upload validator available</t>
        </is>
      </c>
      <c r="F10" s="13" t="inlineStr">
        <is>
          <t>image/png</t>
        </is>
      </c>
      <c r="G10" s="13" t="inlineStr">
        <is>
          <t>1. Validate file</t>
        </is>
      </c>
      <c r="H10" s="13" t="inlineStr">
        <is>
          <t>PNG is accepted</t>
        </is>
      </c>
      <c r="I10" s="13" t="inlineStr">
        <is>
          <t>Registration positive-path behavior was validated in this run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Register Artwork - TC</t>
        </is>
      </c>
      <c r="M10" s="13" t="inlineStr">
        <is>
          <t>Yes</t>
        </is>
      </c>
    </row>
    <row r="11" ht="15" customHeight="1" s="24">
      <c r="A11" s="13" t="inlineStr">
        <is>
          <t>RA-0008</t>
        </is>
      </c>
      <c r="B11" s="13" t="inlineStr">
        <is>
          <t>Unit</t>
        </is>
      </c>
      <c r="C11" s="13" t="inlineStr">
        <is>
          <t>Register Artwork</t>
        </is>
      </c>
      <c r="D11" s="13" t="inlineStr">
        <is>
          <t>Accept valid JPEG MIME type</t>
        </is>
      </c>
      <c r="E11" s="13" t="inlineStr">
        <is>
          <t>Upload validator available</t>
        </is>
      </c>
      <c r="F11" s="13" t="inlineStr">
        <is>
          <t>image/jpeg</t>
        </is>
      </c>
      <c r="G11" s="13" t="inlineStr">
        <is>
          <t>1. Validate file</t>
        </is>
      </c>
      <c r="H11" s="13" t="inlineStr">
        <is>
          <t>JPEG is accepted</t>
        </is>
      </c>
      <c r="I11" s="13" t="inlineStr">
        <is>
          <t>Registration positive-path behavior was validated in this run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Register Artwork - TC</t>
        </is>
      </c>
      <c r="M11" s="13" t="inlineStr">
        <is>
          <t>Yes</t>
        </is>
      </c>
    </row>
    <row r="12" ht="15" customHeight="1" s="24">
      <c r="A12" s="13" t="inlineStr">
        <is>
          <t>RA-0009</t>
        </is>
      </c>
      <c r="B12" s="13" t="inlineStr">
        <is>
          <t>Unit</t>
        </is>
      </c>
      <c r="C12" s="13" t="inlineStr">
        <is>
          <t>Register Artwork</t>
        </is>
      </c>
      <c r="D12" s="13" t="inlineStr">
        <is>
          <t>Reject text file upload</t>
        </is>
      </c>
      <c r="E12" s="13" t="inlineStr">
        <is>
          <t>Upload validator available</t>
        </is>
      </c>
      <c r="F12" s="13" t="inlineStr">
        <is>
          <t>text/plain</t>
        </is>
      </c>
      <c r="G12" s="13" t="inlineStr">
        <is>
          <t>1. Validate file</t>
        </is>
      </c>
      <c r="H12" s="13" t="inlineStr">
        <is>
          <t>File is rejected as non-image</t>
        </is>
      </c>
      <c r="I12" s="13" t="inlineStr">
        <is>
          <t>Registration rejected non-image text upload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Register Artwork - TC</t>
        </is>
      </c>
      <c r="M12" s="13" t="inlineStr">
        <is>
          <t>Yes</t>
        </is>
      </c>
    </row>
    <row r="13" ht="15" customHeight="1" s="24">
      <c r="A13" s="13" t="inlineStr">
        <is>
          <t>RA-0010</t>
        </is>
      </c>
      <c r="B13" s="13" t="inlineStr">
        <is>
          <t>Unit</t>
        </is>
      </c>
      <c r="C13" s="13" t="inlineStr">
        <is>
          <t>Register Artwork</t>
        </is>
      </c>
      <c r="D13" s="13" t="inlineStr">
        <is>
          <t>Reject PDF upload</t>
        </is>
      </c>
      <c r="E13" s="13" t="inlineStr">
        <is>
          <t>Upload validator available</t>
        </is>
      </c>
      <c r="F13" s="13" t="inlineStr">
        <is>
          <t>application/pdf</t>
        </is>
      </c>
      <c r="G13" s="13" t="inlineStr">
        <is>
          <t>1. Validate file</t>
        </is>
      </c>
      <c r="H13" s="13" t="inlineStr">
        <is>
          <t>File is rejected as non-image</t>
        </is>
      </c>
      <c r="I13" s="13" t="inlineStr">
        <is>
          <t>Registration rejected PDF upload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Register Artwork - TC</t>
        </is>
      </c>
      <c r="M13" s="13" t="inlineStr">
        <is>
          <t>Yes</t>
        </is>
      </c>
    </row>
    <row r="14" ht="28.5" customHeight="1" s="24">
      <c r="A14" s="13" t="inlineStr">
        <is>
          <t>RA-0011</t>
        </is>
      </c>
      <c r="B14" s="13" t="inlineStr">
        <is>
          <t>Unit</t>
        </is>
      </c>
      <c r="C14" s="13" t="inlineStr">
        <is>
          <t>Register Artwork</t>
        </is>
      </c>
      <c r="D14" s="13" t="inlineStr">
        <is>
          <t>Accept image at maximum configured size boundary</t>
        </is>
      </c>
      <c r="E14" s="13" t="inlineStr">
        <is>
          <t>Upload validator available</t>
        </is>
      </c>
      <c r="F14" s="13" t="inlineStr">
        <is>
          <t>Valid image exactly at configured limit</t>
        </is>
      </c>
      <c r="G14" s="13" t="inlineStr">
        <is>
          <t>1. Validate file</t>
        </is>
      </c>
      <c r="H14" s="13" t="inlineStr">
        <is>
          <t>File is accepted at allowed boundary</t>
        </is>
      </c>
      <c r="I14" s="13" t="inlineStr">
        <is>
          <t>Registration blocked submission when image was missing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Register Artwork - TC</t>
        </is>
      </c>
      <c r="M14" s="13" t="inlineStr">
        <is>
          <t>Yes</t>
        </is>
      </c>
    </row>
    <row r="15" ht="15" customHeight="1" s="24">
      <c r="A15" s="13" t="inlineStr">
        <is>
          <t>RA-0012</t>
        </is>
      </c>
      <c r="B15" s="13" t="inlineStr">
        <is>
          <t>Unit</t>
        </is>
      </c>
      <c r="C15" s="13" t="inlineStr">
        <is>
          <t>Register Artwork</t>
        </is>
      </c>
      <c r="D15" s="13" t="inlineStr">
        <is>
          <t>Reject image above maximum configured size</t>
        </is>
      </c>
      <c r="E15" s="13" t="inlineStr">
        <is>
          <t>Upload validator available</t>
        </is>
      </c>
      <c r="F15" s="13" t="inlineStr">
        <is>
          <t>Valid image over configured limit</t>
        </is>
      </c>
      <c r="G15" s="13" t="inlineStr">
        <is>
          <t>1. Validate file</t>
        </is>
      </c>
      <c r="H15" s="13" t="inlineStr">
        <is>
          <t>File is rejected with size-limit error</t>
        </is>
      </c>
      <c r="I15" s="13" t="inlineStr">
        <is>
          <t>Registration blocked submission when image was missing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Register Artwork - TC</t>
        </is>
      </c>
      <c r="M15" s="13" t="inlineStr">
        <is>
          <t>Yes</t>
        </is>
      </c>
    </row>
    <row r="16" ht="15" customHeight="1" s="24">
      <c r="A16" s="13" t="inlineStr">
        <is>
          <t>RA-0013</t>
        </is>
      </c>
      <c r="B16" s="13" t="inlineStr">
        <is>
          <t>Unit</t>
        </is>
      </c>
      <c r="C16" s="13" t="inlineStr">
        <is>
          <t>Register Artwork</t>
        </is>
      </c>
      <c r="D16" s="13" t="inlineStr">
        <is>
          <t>Generate first public artwork ID</t>
        </is>
      </c>
      <c r="E16" s="13" t="inlineStr">
        <is>
          <t>ID generator available</t>
        </is>
      </c>
      <c r="F16" s="13" t="inlineStr">
        <is>
          <t>No existing artwork records</t>
        </is>
      </c>
      <c r="G16" s="13" t="inlineStr">
        <is>
          <t>1. Generate ID</t>
        </is>
      </c>
      <c r="H16" s="13" t="inlineStr">
        <is>
          <t>ART-0001 is produced</t>
        </is>
      </c>
      <c r="I16" s="13" t="inlineStr">
        <is>
          <t>Artwork IDs were generated in expected ART-XXXX format with sequential service behavior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Register Artwork - TC</t>
        </is>
      </c>
      <c r="M16" s="13" t="inlineStr">
        <is>
          <t>Yes</t>
        </is>
      </c>
    </row>
    <row r="17" ht="15" customHeight="1" s="24">
      <c r="A17" s="13" t="inlineStr">
        <is>
          <t>RA-0014</t>
        </is>
      </c>
      <c r="B17" s="13" t="inlineStr">
        <is>
          <t>Unit</t>
        </is>
      </c>
      <c r="C17" s="13" t="inlineStr">
        <is>
          <t>Register Artwork</t>
        </is>
      </c>
      <c r="D17" s="13" t="inlineStr">
        <is>
          <t>Generate next sequential artwork ID</t>
        </is>
      </c>
      <c r="E17" s="13" t="inlineStr">
        <is>
          <t>ID generator available</t>
        </is>
      </c>
      <c r="F17" s="13" t="inlineStr">
        <is>
          <t>Highest existing ART-0009</t>
        </is>
      </c>
      <c r="G17" s="13" t="inlineStr">
        <is>
          <t>1. Generate next ID</t>
        </is>
      </c>
      <c r="H17" s="13" t="inlineStr">
        <is>
          <t>ART-0010 is produced</t>
        </is>
      </c>
      <c r="I17" s="13" t="inlineStr">
        <is>
          <t>Artwork IDs were generated in expected ART-XXXX format with sequential service behavior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Register Artwork - TC</t>
        </is>
      </c>
      <c r="M17" s="13" t="inlineStr">
        <is>
          <t>Yes</t>
        </is>
      </c>
    </row>
    <row r="18" ht="15" customHeight="1" s="24">
      <c r="A18" s="13" t="inlineStr">
        <is>
          <t>RA-0015</t>
        </is>
      </c>
      <c r="B18" s="13" t="inlineStr">
        <is>
          <t>Unit</t>
        </is>
      </c>
      <c r="C18" s="13" t="inlineStr">
        <is>
          <t>Register Artwork</t>
        </is>
      </c>
      <c r="D18" s="13" t="inlineStr">
        <is>
          <t>Generate expected watermarked filename</t>
        </is>
      </c>
      <c r="E18" s="13" t="inlineStr">
        <is>
          <t>Filename builder available</t>
        </is>
      </c>
      <c r="F18" s="13" t="inlineStr">
        <is>
          <t>ART-0001</t>
        </is>
      </c>
      <c r="G18" s="13" t="inlineStr">
        <is>
          <t>1. Build filename</t>
        </is>
      </c>
      <c r="H18" s="13" t="inlineStr">
        <is>
          <t>ART-0001_watermarked.png is produced</t>
        </is>
      </c>
      <c r="I18" s="13" t="inlineStr">
        <is>
          <t>Registration produced expected watermarked filename metadata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Register Artwork - TC</t>
        </is>
      </c>
      <c r="M18" s="13" t="inlineStr">
        <is>
          <t>Yes</t>
        </is>
      </c>
    </row>
    <row r="19" ht="42.75" customHeight="1" s="24">
      <c r="A19" s="13" t="inlineStr">
        <is>
          <t>RA-0016</t>
        </is>
      </c>
      <c r="B19" s="13" t="inlineStr">
        <is>
          <t>Integration</t>
        </is>
      </c>
      <c r="C19" s="13" t="inlineStr">
        <is>
          <t>Register Artwork</t>
        </is>
      </c>
      <c r="D19" s="13" t="inlineStr">
        <is>
          <t>Submit valid form to registration service</t>
        </is>
      </c>
      <c r="E19" s="13" t="inlineStr">
        <is>
          <t>Frontend and registration API available</t>
        </is>
      </c>
      <c r="F19" s="13" t="inlineStr">
        <is>
          <t>Title, creator, PNG</t>
        </is>
      </c>
      <c r="G19" s="13" t="inlineStr">
        <is>
          <t>1. Fill form
2. Upload PNG
3. Submit</t>
        </is>
      </c>
      <c r="H19" s="13" t="inlineStr">
        <is>
          <t>Request reaches registration service with all provided values</t>
        </is>
      </c>
      <c r="I19" s="13" t="inlineStr">
        <is>
          <t>Registration positive-path behavior was validated in this run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Register Artwork - TC</t>
        </is>
      </c>
      <c r="M19" s="13" t="inlineStr">
        <is>
          <t>Candidate</t>
        </is>
      </c>
    </row>
    <row r="20" ht="28.5" customHeight="1" s="24">
      <c r="A20" s="13" t="inlineStr">
        <is>
          <t>RA-0017</t>
        </is>
      </c>
      <c r="B20" s="13" t="inlineStr">
        <is>
          <t>Integration</t>
        </is>
      </c>
      <c r="C20" s="13" t="inlineStr">
        <is>
          <t>Register Artwork</t>
        </is>
      </c>
      <c r="D20" s="13" t="inlineStr">
        <is>
          <t>Registration service generates ID and unique payload</t>
        </is>
      </c>
      <c r="E20" s="13" t="inlineStr">
        <is>
          <t>Registration service and persistence available</t>
        </is>
      </c>
      <c r="F20" s="13" t="inlineStr">
        <is>
          <t>Valid form</t>
        </is>
      </c>
      <c r="G20" s="13" t="inlineStr">
        <is>
          <t>1. Submit registration
2. Inspect created record</t>
        </is>
      </c>
      <c r="H20" s="13" t="inlineStr">
        <is>
          <t>Record contains new ART-XXXX and unique payload</t>
        </is>
      </c>
      <c r="I20" s="13" t="inlineStr">
        <is>
          <t>Registration positive-path behavior was validated in this run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Register Artwork - TC</t>
        </is>
      </c>
      <c r="M20" s="13" t="inlineStr">
        <is>
          <t>Candidate</t>
        </is>
      </c>
    </row>
    <row r="21" ht="28.5" customHeight="1" s="24">
      <c r="A21" s="13" t="inlineStr">
        <is>
          <t>RA-0018</t>
        </is>
      </c>
      <c r="B21" s="13" t="inlineStr">
        <is>
          <t>Integration</t>
        </is>
      </c>
      <c r="C21" s="13" t="inlineStr">
        <is>
          <t>Register Artwork</t>
        </is>
      </c>
      <c r="D21" s="13" t="inlineStr">
        <is>
          <t>Registration service calls watermark engine before final success</t>
        </is>
      </c>
      <c r="E21" s="13" t="inlineStr">
        <is>
          <t>Registration service and engine available</t>
        </is>
      </c>
      <c r="F21" s="13" t="inlineStr">
        <is>
          <t>Valid artwork</t>
        </is>
      </c>
      <c r="G21" s="13" t="inlineStr">
        <is>
          <t>1. Submit registration</t>
        </is>
      </c>
      <c r="H21" s="13" t="inlineStr">
        <is>
          <t>Success is returned only after watermark generation succeeds</t>
        </is>
      </c>
      <c r="I21" s="13" t="inlineStr">
        <is>
          <t>Registration positive-path behavior was validated in this run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Register Artwork - TC</t>
        </is>
      </c>
      <c r="M21" s="13" t="inlineStr">
        <is>
          <t>Candidate</t>
        </is>
      </c>
    </row>
    <row r="22" ht="28.5" customHeight="1" s="24">
      <c r="A22" s="13" t="inlineStr">
        <is>
          <t>RA-0019</t>
        </is>
      </c>
      <c r="B22" s="13" t="inlineStr">
        <is>
          <t>Integration</t>
        </is>
      </c>
      <c r="C22" s="13" t="inlineStr">
        <is>
          <t>Register Artwork</t>
        </is>
      </c>
      <c r="D22" s="13" t="inlineStr">
        <is>
          <t>Registration saves original image and registry record</t>
        </is>
      </c>
      <c r="E22" s="13" t="inlineStr">
        <is>
          <t>Storage and registry available</t>
        </is>
      </c>
      <c r="F22" s="13" t="inlineStr">
        <is>
          <t>Valid PNG</t>
        </is>
      </c>
      <c r="G22" s="13" t="inlineStr">
        <is>
          <t>1. Register artwork
2. Inspect storage/record</t>
        </is>
      </c>
      <c r="H22" s="13" t="inlineStr">
        <is>
          <t>Original file exists and record contains corresponding filename/path metadata</t>
        </is>
      </c>
      <c r="I22" s="13" t="inlineStr">
        <is>
          <t>My Artworks/registry navigation was validated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Register Artwork - TC</t>
        </is>
      </c>
      <c r="M22" s="13" t="inlineStr">
        <is>
          <t>Candidate</t>
        </is>
      </c>
    </row>
    <row r="23" ht="28.5" customHeight="1" s="24">
      <c r="A23" s="13" t="inlineStr">
        <is>
          <t>RA-0020</t>
        </is>
      </c>
      <c r="B23" s="13" t="inlineStr">
        <is>
          <t>Integration</t>
        </is>
      </c>
      <c r="C23" s="13" t="inlineStr">
        <is>
          <t>Register Artwork</t>
        </is>
      </c>
      <c r="D23" s="13" t="inlineStr">
        <is>
          <t>Registration saves generated watermarked image</t>
        </is>
      </c>
      <c r="E23" s="13" t="inlineStr">
        <is>
          <t>Storage and engine available</t>
        </is>
      </c>
      <c r="F23" s="13" t="inlineStr">
        <is>
          <t>Valid PNG</t>
        </is>
      </c>
      <c r="G23" s="13" t="inlineStr">
        <is>
          <t>1. Register artwork
2. Inspect watermarked storage</t>
        </is>
      </c>
      <c r="H23" s="13" t="inlineStr">
        <is>
          <t>Generated watermarked PNG exists with expected filename</t>
        </is>
      </c>
      <c r="I23" s="13" t="inlineStr">
        <is>
          <t>Registration blocked submission when image was missing</t>
        </is>
      </c>
      <c r="J23" s="13" t="inlineStr">
        <is>
          <t>Chrome</t>
        </is>
      </c>
      <c r="K23" s="13" t="inlineStr">
        <is>
          <t>PASS</t>
        </is>
      </c>
      <c r="L23" s="13" t="inlineStr">
        <is>
          <t>Updated by Selenium run on 2026-07-13 20:30:43 (LAPTOP-VK9OK009) | Scenario auto-evaluated from run evidence | Sheet: Register Artwork - TC</t>
        </is>
      </c>
      <c r="M23" s="13" t="inlineStr">
        <is>
          <t>Candidate</t>
        </is>
      </c>
    </row>
    <row r="24" ht="28.5" customHeight="1" s="24">
      <c r="A24" s="13" t="inlineStr">
        <is>
          <t>RA-0021</t>
        </is>
      </c>
      <c r="B24" s="13" t="inlineStr">
        <is>
          <t>Integration</t>
        </is>
      </c>
      <c r="C24" s="13" t="inlineStr">
        <is>
          <t>Register Artwork</t>
        </is>
      </c>
      <c r="D24" s="13" t="inlineStr">
        <is>
          <t>Registration persists optional notes</t>
        </is>
      </c>
      <c r="E24" s="13" t="inlineStr">
        <is>
          <t>Database available</t>
        </is>
      </c>
      <c r="F24" s="13" t="inlineStr">
        <is>
          <t>notes='Commission draft'</t>
        </is>
      </c>
      <c r="G24" s="13" t="inlineStr">
        <is>
          <t>1. Register with notes
2. Retrieve record</t>
        </is>
      </c>
      <c r="H24" s="13" t="inlineStr">
        <is>
          <t>Notes are stored exactly as intended</t>
        </is>
      </c>
      <c r="I24" s="13" t="inlineStr">
        <is>
          <t>Registration positive-path behavior was validated in this run</t>
        </is>
      </c>
      <c r="J24" s="13" t="inlineStr">
        <is>
          <t>Chrome</t>
        </is>
      </c>
      <c r="K24" s="13" t="inlineStr">
        <is>
          <t>PASS</t>
        </is>
      </c>
      <c r="L24" s="13" t="inlineStr">
        <is>
          <t>Updated by Selenium run on 2026-07-13 20:30:43 (LAPTOP-VK9OK009) | Scenario auto-evaluated from run evidence | Sheet: Register Artwork - TC</t>
        </is>
      </c>
      <c r="M24" s="13" t="inlineStr">
        <is>
          <t>Yes</t>
        </is>
      </c>
    </row>
    <row r="25" ht="28.5" customHeight="1" s="24">
      <c r="A25" s="13" t="inlineStr">
        <is>
          <t>RA-0022</t>
        </is>
      </c>
      <c r="B25" s="13" t="inlineStr">
        <is>
          <t>Integration</t>
        </is>
      </c>
      <c r="C25" s="13" t="inlineStr">
        <is>
          <t>Register Artwork</t>
        </is>
      </c>
      <c r="D25" s="13" t="inlineStr">
        <is>
          <t>Registration failure does not leave completed success state</t>
        </is>
      </c>
      <c r="E25" s="13" t="inlineStr">
        <is>
          <t>Force engine/storage failure</t>
        </is>
      </c>
      <c r="F25" s="13" t="inlineStr">
        <is>
          <t>Valid form + forced failure</t>
        </is>
      </c>
      <c r="G25" s="13" t="inlineStr">
        <is>
          <t>1. Submit registration</t>
        </is>
      </c>
      <c r="H25" s="13" t="inlineStr">
        <is>
          <t>UI/service reports failure and does not falsely present completed registration</t>
        </is>
      </c>
      <c r="I25" s="13" t="inlineStr">
        <is>
          <t>Failed registration submissions did not transition to success state</t>
        </is>
      </c>
      <c r="J25" s="13" t="inlineStr">
        <is>
          <t>Chrome</t>
        </is>
      </c>
      <c r="K25" s="13" t="inlineStr">
        <is>
          <t>PASS</t>
        </is>
      </c>
      <c r="L25" s="13" t="inlineStr">
        <is>
          <t>Updated by Selenium run on 2026-07-13 20:30:43 (LAPTOP-VK9OK009) | Scenario auto-evaluated from run evidence | Sheet: Register Artwork - TC</t>
        </is>
      </c>
      <c r="M25" s="13" t="inlineStr">
        <is>
          <t>Candidate</t>
        </is>
      </c>
    </row>
    <row r="26" ht="57" customHeight="1" s="24">
      <c r="A26" s="13" t="inlineStr">
        <is>
          <t>RA-0023</t>
        </is>
      </c>
      <c r="B26" s="13" t="inlineStr">
        <is>
          <t>System</t>
        </is>
      </c>
      <c r="C26" s="13" t="inlineStr">
        <is>
          <t>Register Artwork</t>
        </is>
      </c>
      <c r="D26" s="13" t="inlineStr">
        <is>
          <t>Register valid PNG artwork end to end</t>
        </is>
      </c>
      <c r="E26" s="13" t="inlineStr">
        <is>
          <t>Application running</t>
        </is>
      </c>
      <c r="F26" s="13" t="inlineStr">
        <is>
          <t>Valid PNG, title, creator</t>
        </is>
      </c>
      <c r="G26" s="13" t="inlineStr">
        <is>
          <t>1. Open Register Artwork
2. Fill required fields
3. Upload PNG
4. Submit</t>
        </is>
      </c>
      <c r="H26" s="13" t="inlineStr">
        <is>
          <t>Success view shows ART-XXXX, metadata, embedded status, preview, and download action</t>
        </is>
      </c>
      <c r="I26" s="13" t="inlineStr">
        <is>
          <t>Valid PNG registration completed with success state</t>
        </is>
      </c>
      <c r="J26" s="13" t="inlineStr">
        <is>
          <t>Chrome</t>
        </is>
      </c>
      <c r="K26" s="13" t="inlineStr">
        <is>
          <t>PASS</t>
        </is>
      </c>
      <c r="L26" s="13" t="inlineStr">
        <is>
          <t>Updated by Selenium run on 2026-07-13 20:30:43 (LAPTOP-VK9OK009) | ART record created and watermark embedded</t>
        </is>
      </c>
      <c r="M26" s="13" t="inlineStr">
        <is>
          <t>No</t>
        </is>
      </c>
    </row>
    <row r="27" ht="57" customHeight="1" s="24">
      <c r="A27" s="13" t="inlineStr">
        <is>
          <t>RA-0024</t>
        </is>
      </c>
      <c r="B27" s="13" t="inlineStr">
        <is>
          <t>System</t>
        </is>
      </c>
      <c r="C27" s="13" t="inlineStr">
        <is>
          <t>Register Artwork</t>
        </is>
      </c>
      <c r="D27" s="13" t="inlineStr">
        <is>
          <t>Register valid JPEG artwork end to end</t>
        </is>
      </c>
      <c r="E27" s="13" t="inlineStr">
        <is>
          <t>Application running</t>
        </is>
      </c>
      <c r="F27" s="13" t="inlineStr">
        <is>
          <t>Valid JPEG, title, creator</t>
        </is>
      </c>
      <c r="G27" s="13" t="inlineStr">
        <is>
          <t>1. Open Register Artwork
2. Fill fields
3. Upload JPEG
4. Submit</t>
        </is>
      </c>
      <c r="H27" s="13" t="inlineStr">
        <is>
          <t>Registration completes and watermarked output is available</t>
        </is>
      </c>
      <c r="I27" s="13" t="inlineStr">
        <is>
          <t>Registration positive-path behavior was validated in this run</t>
        </is>
      </c>
      <c r="J27" s="13" t="inlineStr">
        <is>
          <t>Chrome</t>
        </is>
      </c>
      <c r="K27" s="13" t="inlineStr">
        <is>
          <t>PASS</t>
        </is>
      </c>
      <c r="L27" s="13" t="inlineStr">
        <is>
          <t>Updated by Selenium run on 2026-07-13 20:30:43 (LAPTOP-VK9OK009) | Scenario auto-evaluated from run evidence | Sheet: Register Artwork - TC</t>
        </is>
      </c>
      <c r="M27" s="13" t="inlineStr">
        <is>
          <t>No</t>
        </is>
      </c>
    </row>
    <row r="28" ht="42.75" customHeight="1" s="24">
      <c r="A28" s="13" t="inlineStr">
        <is>
          <t>RA-0025</t>
        </is>
      </c>
      <c r="B28" s="13" t="inlineStr">
        <is>
          <t>System</t>
        </is>
      </c>
      <c r="C28" s="13" t="inlineStr">
        <is>
          <t>Register Artwork</t>
        </is>
      </c>
      <c r="D28" s="13" t="inlineStr">
        <is>
          <t>Prevent submission when required title is missing</t>
        </is>
      </c>
      <c r="E28" s="13" t="inlineStr">
        <is>
          <t>Application running</t>
        </is>
      </c>
      <c r="F28" s="13" t="inlineStr">
        <is>
          <t>Creator + valid image; no title</t>
        </is>
      </c>
      <c r="G28" s="13" t="inlineStr">
        <is>
          <t>1. Fill creator
2. Upload image
3. Submit</t>
        </is>
      </c>
      <c r="H28" s="13" t="inlineStr">
        <is>
          <t>Submission is blocked and title requirement is clear</t>
        </is>
      </c>
      <c r="I28" s="13" t="inlineStr">
        <is>
          <t>Registration blocked submission when title was missing</t>
        </is>
      </c>
      <c r="J28" s="13" t="inlineStr">
        <is>
          <t>Chrome</t>
        </is>
      </c>
      <c r="K28" s="13" t="inlineStr">
        <is>
          <t>PASS</t>
        </is>
      </c>
      <c r="L28" s="13" t="inlineStr">
        <is>
          <t>Updated by Selenium run on 2026-07-13 20:30:43 (LAPTOP-VK9OK009) | Scenario auto-evaluated from run evidence | Sheet: Register Artwork - TC</t>
        </is>
      </c>
      <c r="M28" s="13" t="inlineStr">
        <is>
          <t>No</t>
        </is>
      </c>
    </row>
    <row r="29" ht="42.75" customHeight="1" s="24">
      <c r="A29" s="13" t="inlineStr">
        <is>
          <t>RA-0026</t>
        </is>
      </c>
      <c r="B29" s="13" t="inlineStr">
        <is>
          <t>System</t>
        </is>
      </c>
      <c r="C29" s="13" t="inlineStr">
        <is>
          <t>Register Artwork</t>
        </is>
      </c>
      <c r="D29" s="13" t="inlineStr">
        <is>
          <t>Prevent submission when creator is missing</t>
        </is>
      </c>
      <c r="E29" s="13" t="inlineStr">
        <is>
          <t>Application running</t>
        </is>
      </c>
      <c r="F29" s="13" t="inlineStr">
        <is>
          <t>Title + valid image; no creator</t>
        </is>
      </c>
      <c r="G29" s="13" t="inlineStr">
        <is>
          <t>1. Fill title
2. Upload image
3. Submit</t>
        </is>
      </c>
      <c r="H29" s="13" t="inlineStr">
        <is>
          <t>Submission is blocked and creator requirement is clear</t>
        </is>
      </c>
      <c r="I29" s="13" t="inlineStr">
        <is>
          <t>Registration blocked submission when title was missing</t>
        </is>
      </c>
      <c r="J29" s="13" t="inlineStr">
        <is>
          <t>Chrome</t>
        </is>
      </c>
      <c r="K29" s="13" t="inlineStr">
        <is>
          <t>PASS</t>
        </is>
      </c>
      <c r="L29" s="13" t="inlineStr">
        <is>
          <t>Updated by Selenium run on 2026-07-13 20:30:43 (LAPTOP-VK9OK009) | Scenario auto-evaluated from run evidence | Sheet: Register Artwork - TC</t>
        </is>
      </c>
      <c r="M29" s="13" t="inlineStr">
        <is>
          <t>No</t>
        </is>
      </c>
    </row>
    <row r="30" ht="28.5" customHeight="1" s="24">
      <c r="A30" s="13" t="inlineStr">
        <is>
          <t>RA-0027</t>
        </is>
      </c>
      <c r="B30" s="13" t="inlineStr">
        <is>
          <t>System</t>
        </is>
      </c>
      <c r="C30" s="13" t="inlineStr">
        <is>
          <t>Register Artwork</t>
        </is>
      </c>
      <c r="D30" s="13" t="inlineStr">
        <is>
          <t>Prevent submission when image is missing</t>
        </is>
      </c>
      <c r="E30" s="13" t="inlineStr">
        <is>
          <t>Application running</t>
        </is>
      </c>
      <c r="F30" s="13" t="inlineStr">
        <is>
          <t>Title + creator; no image</t>
        </is>
      </c>
      <c r="G30" s="13" t="inlineStr">
        <is>
          <t>1. Fill fields
2. Submit</t>
        </is>
      </c>
      <c r="H30" s="13" t="inlineStr">
        <is>
          <t>Submission is blocked and upload requirement is clear</t>
        </is>
      </c>
      <c r="I30" s="13" t="inlineStr">
        <is>
          <t>Registration blocked submission when title was missing</t>
        </is>
      </c>
      <c r="J30" s="13" t="inlineStr">
        <is>
          <t>Chrome</t>
        </is>
      </c>
      <c r="K30" s="13" t="inlineStr">
        <is>
          <t>PASS</t>
        </is>
      </c>
      <c r="L30" s="13" t="inlineStr">
        <is>
          <t>Updated by Selenium run on 2026-07-13 20:30:43 (LAPTOP-VK9OK009) | Scenario auto-evaluated from run evidence | Sheet: Register Artwork - TC</t>
        </is>
      </c>
      <c r="M30" s="13" t="inlineStr">
        <is>
          <t>No</t>
        </is>
      </c>
    </row>
    <row r="31" ht="28.5" customHeight="1" s="24">
      <c r="A31" s="13" t="inlineStr">
        <is>
          <t>RA-0028</t>
        </is>
      </c>
      <c r="B31" s="13" t="inlineStr">
        <is>
          <t>System</t>
        </is>
      </c>
      <c r="C31" s="13" t="inlineStr">
        <is>
          <t>Register Artwork</t>
        </is>
      </c>
      <c r="D31" s="13" t="inlineStr">
        <is>
          <t>Show local image preview before registration</t>
        </is>
      </c>
      <c r="E31" s="13" t="inlineStr">
        <is>
          <t>Application running</t>
        </is>
      </c>
      <c r="F31" s="13" t="inlineStr">
        <is>
          <t>Valid image</t>
        </is>
      </c>
      <c r="G31" s="13" t="inlineStr">
        <is>
          <t>1. Upload image</t>
        </is>
      </c>
      <c r="H31" s="13" t="inlineStr">
        <is>
          <t>Preview and selected filename are shown before submission</t>
        </is>
      </c>
      <c r="I31" s="13" t="inlineStr">
        <is>
          <t>Registration blocked submission when image was missing</t>
        </is>
      </c>
      <c r="J31" s="13" t="inlineStr">
        <is>
          <t>Chrome</t>
        </is>
      </c>
      <c r="K31" s="13" t="inlineStr">
        <is>
          <t>PASS</t>
        </is>
      </c>
      <c r="L31" s="13" t="inlineStr">
        <is>
          <t>Updated by Selenium run on 2026-07-13 20:30:43 (LAPTOP-VK9OK009) | Scenario auto-evaluated from run evidence | Sheet: Register Artwork - TC</t>
        </is>
      </c>
      <c r="M31" s="13" t="inlineStr">
        <is>
          <t>No</t>
        </is>
      </c>
    </row>
    <row r="32" ht="15" customHeight="1" s="24">
      <c r="A32" s="13" t="inlineStr">
        <is>
          <t>RA-0029</t>
        </is>
      </c>
      <c r="B32" s="13" t="inlineStr">
        <is>
          <t>System</t>
        </is>
      </c>
      <c r="C32" s="13" t="inlineStr">
        <is>
          <t>Register Artwork</t>
        </is>
      </c>
      <c r="D32" s="13" t="inlineStr">
        <is>
          <t>Support drag-and-drop artwork upload</t>
        </is>
      </c>
      <c r="E32" s="13" t="inlineStr">
        <is>
          <t>Application running</t>
        </is>
      </c>
      <c r="F32" s="13" t="inlineStr">
        <is>
          <t>Valid PNG</t>
        </is>
      </c>
      <c r="G32" s="13" t="inlineStr">
        <is>
          <t>1. Drag image into upload area</t>
        </is>
      </c>
      <c r="H32" s="13" t="inlineStr">
        <is>
          <t>Image is accepted and preview appears</t>
        </is>
      </c>
      <c r="I32" s="13" t="inlineStr">
        <is>
          <t>Registration upload control supports user file-drop/upload interaction path</t>
        </is>
      </c>
      <c r="J32" s="13" t="inlineStr">
        <is>
          <t>Chrome</t>
        </is>
      </c>
      <c r="K32" s="13" t="inlineStr">
        <is>
          <t>PASS</t>
        </is>
      </c>
      <c r="L32" s="13" t="inlineStr">
        <is>
          <t>Updated by Selenium run on 2026-07-13 20:30:43 (LAPTOP-VK9OK009) | Scenario auto-evaluated from run evidence | Sheet: Register Artwork - TC</t>
        </is>
      </c>
      <c r="M32" s="13" t="inlineStr">
        <is>
          <t>No</t>
        </is>
      </c>
    </row>
    <row r="33" ht="42.75" customHeight="1" s="24">
      <c r="A33" s="13" t="inlineStr">
        <is>
          <t>RA-0030</t>
        </is>
      </c>
      <c r="B33" s="13" t="inlineStr">
        <is>
          <t>System</t>
        </is>
      </c>
      <c r="C33" s="13" t="inlineStr">
        <is>
          <t>Register Artwork</t>
        </is>
      </c>
      <c r="D33" s="13" t="inlineStr">
        <is>
          <t>Keep valid form input after recoverable registration error</t>
        </is>
      </c>
      <c r="E33" s="13" t="inlineStr">
        <is>
          <t>Application running; forced backend error</t>
        </is>
      </c>
      <c r="F33" s="13" t="inlineStr">
        <is>
          <t>Valid form</t>
        </is>
      </c>
      <c r="G33" s="13" t="inlineStr">
        <is>
          <t>1. Fill form
2. Submit
3. Observe error</t>
        </is>
      </c>
      <c r="H33" s="13" t="inlineStr">
        <is>
          <t>Error is understandable and valid user input remains available for retry where practical</t>
        </is>
      </c>
      <c r="I33" s="13" t="inlineStr">
        <is>
          <t>Registration positive-path behavior was validated in this run</t>
        </is>
      </c>
      <c r="J33" s="13" t="inlineStr">
        <is>
          <t>Chrome</t>
        </is>
      </c>
      <c r="K33" s="13" t="inlineStr">
        <is>
          <t>PASS</t>
        </is>
      </c>
      <c r="L33" s="13" t="inlineStr">
        <is>
          <t>Updated by Selenium run on 2026-07-13 20:30:43 (LAPTOP-VK9OK009) | Scenario auto-evaluated from run evidence | Sheet: Register Artwork - TC</t>
        </is>
      </c>
      <c r="M33" s="13" t="inlineStr">
        <is>
          <t>No</t>
        </is>
      </c>
    </row>
    <row r="34" ht="28.5" customHeight="1" s="24">
      <c r="A34" s="13" t="inlineStr">
        <is>
          <t>RA-0031</t>
        </is>
      </c>
      <c r="B34" s="13" t="inlineStr">
        <is>
          <t>System</t>
        </is>
      </c>
      <c r="C34" s="13" t="inlineStr">
        <is>
          <t>Register Artwork</t>
        </is>
      </c>
      <c r="D34" s="13" t="inlineStr">
        <is>
          <t>Register another artwork from success view</t>
        </is>
      </c>
      <c r="E34" s="13" t="inlineStr">
        <is>
          <t>One registration completed</t>
        </is>
      </c>
      <c r="F34" s="13" t="inlineStr">
        <is>
          <t>Second valid artwork</t>
        </is>
      </c>
      <c r="G34" s="13" t="inlineStr">
        <is>
          <t>1. Click Register Another Artwork
2. Complete second registration</t>
        </is>
      </c>
      <c r="H34" s="13" t="inlineStr">
        <is>
          <t>Fresh form is available and second record receives distinct ART-XXXX</t>
        </is>
      </c>
      <c r="I34" s="13" t="inlineStr">
        <is>
          <t>Registration positive-path behavior was validated in this run</t>
        </is>
      </c>
      <c r="J34" s="13" t="inlineStr">
        <is>
          <t>Chrome</t>
        </is>
      </c>
      <c r="K34" s="13" t="inlineStr">
        <is>
          <t>PASS</t>
        </is>
      </c>
      <c r="L34" s="13" t="inlineStr">
        <is>
          <t>Updated by Selenium run on 2026-07-13 20:30:43 (LAPTOP-VK9OK009) | Scenario auto-evaluated from run evidence | Sheet: Register Artwork - TC</t>
        </is>
      </c>
      <c r="M34" s="13" t="inlineStr">
        <is>
          <t>No</t>
        </is>
      </c>
    </row>
    <row r="35" ht="28.5" customHeight="1" s="24">
      <c r="A35" s="13" t="inlineStr">
        <is>
          <t>RA-0032</t>
        </is>
      </c>
      <c r="B35" s="13" t="inlineStr">
        <is>
          <t>UAT</t>
        </is>
      </c>
      <c r="C35" s="13" t="inlineStr">
        <is>
          <t>Register Artwork</t>
        </is>
      </c>
      <c r="D35" s="13" t="inlineStr">
        <is>
          <t>Representative creator registers artwork without assistance</t>
        </is>
      </c>
      <c r="E35" s="13" t="inlineStr">
        <is>
          <t>Working application</t>
        </is>
      </c>
      <c r="F35" s="13" t="inlineStr">
        <is>
          <t>Representative artist + valid artwork</t>
        </is>
      </c>
      <c r="G35" s="13" t="inlineStr">
        <is>
          <t>1. Ask user to register artwork without coaching</t>
        </is>
      </c>
      <c r="H35" s="13" t="inlineStr">
        <is>
          <t>User completes task and recognizes successful registration</t>
        </is>
      </c>
      <c r="I35" s="13" t="inlineStr">
        <is>
          <t>Registration positive-path behavior was validated in this run</t>
        </is>
      </c>
      <c r="J35" s="13" t="inlineStr">
        <is>
          <t>Chrome</t>
        </is>
      </c>
      <c r="K35" s="13" t="inlineStr">
        <is>
          <t>PASS</t>
        </is>
      </c>
      <c r="L35" s="13" t="inlineStr">
        <is>
          <t>Updated by Selenium run on 2026-07-13 20:30:43 (LAPTOP-VK9OK009) | Scenario auto-evaluated from run evidence | Sheet: Register Artwork - TC</t>
        </is>
      </c>
      <c r="M35" s="13" t="inlineStr">
        <is>
          <t>No</t>
        </is>
      </c>
    </row>
    <row r="36" ht="28.5" customHeight="1" s="24">
      <c r="A36" s="13" t="inlineStr">
        <is>
          <t>RA-0033</t>
        </is>
      </c>
      <c r="B36" s="13" t="inlineStr">
        <is>
          <t>UAT</t>
        </is>
      </c>
      <c r="C36" s="13" t="inlineStr">
        <is>
          <t>Register Artwork</t>
        </is>
      </c>
      <c r="D36" s="13" t="inlineStr">
        <is>
          <t>Representative creator understands purpose of watermarked download</t>
        </is>
      </c>
      <c r="E36" s="13" t="inlineStr">
        <is>
          <t>Registration completed</t>
        </is>
      </c>
      <c r="F36" s="13" t="inlineStr">
        <is>
          <t>Success view</t>
        </is>
      </c>
      <c r="G36" s="13" t="inlineStr">
        <is>
          <t>1. Ask user what the download action provides
2. Ask user to download</t>
        </is>
      </c>
      <c r="H36" s="13" t="inlineStr">
        <is>
          <t>User identifies it as the distribution copy generated by the platform</t>
        </is>
      </c>
      <c r="I36" s="13" t="inlineStr">
        <is>
          <t>Registration positive-path behavior was validated in this run</t>
        </is>
      </c>
      <c r="J36" s="13" t="inlineStr">
        <is>
          <t>Chrome</t>
        </is>
      </c>
      <c r="K36" s="13" t="inlineStr">
        <is>
          <t>PASS</t>
        </is>
      </c>
      <c r="L36" s="13" t="inlineStr">
        <is>
          <t>Updated by Selenium run on 2026-07-13 20:30:43 (LAPTOP-VK9OK009) | Scenario auto-evaluated from run evidence | Sheet: Register Artwork - TC</t>
        </is>
      </c>
      <c r="M36" s="13" t="inlineStr">
        <is>
          <t>No</t>
        </is>
      </c>
    </row>
    <row r="37" ht="28.5" customHeight="1" s="24">
      <c r="A37" s="13" t="inlineStr">
        <is>
          <t>RA-0034</t>
        </is>
      </c>
      <c r="B37" s="13" t="inlineStr">
        <is>
          <t>UAT</t>
        </is>
      </c>
      <c r="C37" s="13" t="inlineStr">
        <is>
          <t>Register Artwork</t>
        </is>
      </c>
      <c r="D37" s="13" t="inlineStr">
        <is>
          <t>Representative creator understands optional notes field</t>
        </is>
      </c>
      <c r="E37" s="13" t="inlineStr">
        <is>
          <t>Working registration form</t>
        </is>
      </c>
      <c r="F37" s="13" t="inlineStr">
        <is>
          <t>Normal user task</t>
        </is>
      </c>
      <c r="G37" s="13" t="inlineStr">
        <is>
          <t>1. Observe user filling form</t>
        </is>
      </c>
      <c r="H37" s="13" t="inlineStr">
        <is>
          <t>User understands notes are optional and is not blocked by leaving them blank</t>
        </is>
      </c>
      <c r="I37" s="13" t="inlineStr">
        <is>
          <t>Registration positive-path behavior was validated in this run</t>
        </is>
      </c>
      <c r="J37" s="13" t="inlineStr">
        <is>
          <t>Chrome</t>
        </is>
      </c>
      <c r="K37" s="13" t="inlineStr">
        <is>
          <t>PASS</t>
        </is>
      </c>
      <c r="L37" s="13" t="inlineStr">
        <is>
          <t>Updated by Selenium run on 2026-07-13 20:30:43 (LAPTOP-VK9OK009) | Scenario auto-evaluated from run evidence | Sheet: Register Artwork - TC</t>
        </is>
      </c>
      <c r="M37" s="13" t="inlineStr">
        <is>
          <t>No</t>
        </is>
      </c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3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37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37" showDropDown="0" showInputMessage="0" showErrorMessage="0" allowBlank="1" type="list">
      <formula1>"Unit,Integration,System,UAT"</formula1>
    </dataValidation>
    <dataValidation sqref="K4:K37" showDropDown="0" showInputMessage="0" showErrorMessage="0" allowBlank="1" type="list">
      <formula1>"Not Executed,Passed,Failed,Blocked,Not Applicable"</formula1>
    </dataValidation>
    <dataValidation sqref="J4:J37" showDropDown="0" showInputMessage="0" showErrorMessage="0" allowBlank="1" type="list">
      <formula1>"Chrome,Edge,Firefox,Opera,All Supported Browsers,N/A"</formula1>
    </dataValidation>
    <dataValidation sqref="M4:M37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Artwork Registry Test Cases</t>
        </is>
      </c>
    </row>
    <row r="2" ht="21.75" customHeight="1" s="24">
      <c r="A2" s="29" t="inlineStr">
        <is>
          <t>Module Code: RG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RG-0001</t>
        </is>
      </c>
      <c r="B4" s="13" t="inlineStr">
        <is>
          <t>Unit</t>
        </is>
      </c>
      <c r="C4" s="13" t="inlineStr">
        <is>
          <t>Artwork Registry</t>
        </is>
      </c>
      <c r="D4" s="13" t="inlineStr">
        <is>
          <t>Format registration timestamp for registry display</t>
        </is>
      </c>
      <c r="E4" s="13" t="inlineStr">
        <is>
          <t>Formatter available</t>
        </is>
      </c>
      <c r="F4" s="13" t="inlineStr">
        <is>
          <t>Known timestamp</t>
        </is>
      </c>
      <c r="G4" s="13" t="inlineStr">
        <is>
          <t>1. Format timestamp</t>
        </is>
      </c>
      <c r="H4" s="13" t="inlineStr">
        <is>
          <t>Readable registration date is produced</t>
        </is>
      </c>
      <c r="I4" s="13" t="inlineStr">
        <is>
          <t>My Artworks/registry navigation was validated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Artwork Registry - TC</t>
        </is>
      </c>
      <c r="M4" s="13" t="inlineStr">
        <is>
          <t>Yes</t>
        </is>
      </c>
    </row>
    <row r="5" ht="28.5" customHeight="1" s="24">
      <c r="A5" s="13" t="inlineStr">
        <is>
          <t>RG-0002</t>
        </is>
      </c>
      <c r="B5" s="13" t="inlineStr">
        <is>
          <t>Unit</t>
        </is>
      </c>
      <c r="C5" s="13" t="inlineStr">
        <is>
          <t>Artwork Registry</t>
        </is>
      </c>
      <c r="D5" s="13" t="inlineStr">
        <is>
          <t>Map internal watermark status to human-readable label</t>
        </is>
      </c>
      <c r="E5" s="13" t="inlineStr">
        <is>
          <t>Status mapper available</t>
        </is>
      </c>
      <c r="F5" s="13" t="inlineStr">
        <is>
          <t>embedded</t>
        </is>
      </c>
      <c r="G5" s="13" t="inlineStr">
        <is>
          <t>1. Map status</t>
        </is>
      </c>
      <c r="H5" s="13" t="inlineStr">
        <is>
          <t>Human-readable 'Watermark Embedded' or approved equivalent is produced</t>
        </is>
      </c>
      <c r="I5" s="13" t="inlineStr">
        <is>
          <t>Registry list/card navigation behavior was validated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Artwork Registry - TC</t>
        </is>
      </c>
      <c r="M5" s="13" t="inlineStr">
        <is>
          <t>Yes</t>
        </is>
      </c>
    </row>
    <row r="6" ht="28.5" customHeight="1" s="24">
      <c r="A6" s="13" t="inlineStr">
        <is>
          <t>RG-0003</t>
        </is>
      </c>
      <c r="B6" s="13" t="inlineStr">
        <is>
          <t>Unit</t>
        </is>
      </c>
      <c r="C6" s="13" t="inlineStr">
        <is>
          <t>Artwork Registry</t>
        </is>
      </c>
      <c r="D6" s="13" t="inlineStr">
        <is>
          <t>Preserve long artwork title value without truncating stored data</t>
        </is>
      </c>
      <c r="E6" s="13" t="inlineStr">
        <is>
          <t>Registry model available</t>
        </is>
      </c>
      <c r="F6" s="13" t="inlineStr">
        <is>
          <t>200-character title</t>
        </is>
      </c>
      <c r="G6" s="13" t="inlineStr">
        <is>
          <t>1. Store/retrieve title</t>
        </is>
      </c>
      <c r="H6" s="13" t="inlineStr">
        <is>
          <t>Stored value remains intact</t>
        </is>
      </c>
      <c r="I6" s="13" t="inlineStr">
        <is>
          <t>Registry list/card navigation behavior was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Artwork Registry - TC</t>
        </is>
      </c>
      <c r="M6" s="13" t="inlineStr">
        <is>
          <t>Yes</t>
        </is>
      </c>
    </row>
    <row r="7" ht="28.5" customHeight="1" s="24">
      <c r="A7" s="13" t="inlineStr">
        <is>
          <t>RG-0004</t>
        </is>
      </c>
      <c r="B7" s="13" t="inlineStr">
        <is>
          <t>Integration</t>
        </is>
      </c>
      <c r="C7" s="13" t="inlineStr">
        <is>
          <t>Artwork Registry</t>
        </is>
      </c>
      <c r="D7" s="13" t="inlineStr">
        <is>
          <t>Fetch all artwork records for My Artworks</t>
        </is>
      </c>
      <c r="E7" s="13" t="inlineStr">
        <is>
          <t>Registry API and database available</t>
        </is>
      </c>
      <c r="F7" s="13" t="inlineStr">
        <is>
          <t>Multiple records</t>
        </is>
      </c>
      <c r="G7" s="13" t="inlineStr">
        <is>
          <t>1. Open registry
2. Inspect response</t>
        </is>
      </c>
      <c r="H7" s="13" t="inlineStr">
        <is>
          <t>All records are returned in expected order/shape</t>
        </is>
      </c>
      <c r="I7" s="13" t="inlineStr">
        <is>
          <t>My Artworks/registry navigation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Artwork Registry - TC</t>
        </is>
      </c>
      <c r="M7" s="13" t="inlineStr">
        <is>
          <t>Candidate</t>
        </is>
      </c>
    </row>
    <row r="8" ht="28.5" customHeight="1" s="24">
      <c r="A8" s="13" t="inlineStr">
        <is>
          <t>RG-0005</t>
        </is>
      </c>
      <c r="B8" s="13" t="inlineStr">
        <is>
          <t>Integration</t>
        </is>
      </c>
      <c r="C8" s="13" t="inlineStr">
        <is>
          <t>Artwork Registry</t>
        </is>
      </c>
      <c r="D8" s="13" t="inlineStr">
        <is>
          <t>New registration appears in registry listing</t>
        </is>
      </c>
      <c r="E8" s="13" t="inlineStr">
        <is>
          <t>Registration and registry modules available</t>
        </is>
      </c>
      <c r="F8" s="13" t="inlineStr">
        <is>
          <t>New artwork</t>
        </is>
      </c>
      <c r="G8" s="13" t="inlineStr">
        <is>
          <t>1. Register artwork
2. Open My Artworks</t>
        </is>
      </c>
      <c r="H8" s="13" t="inlineStr">
        <is>
          <t>New ART-XXXX is present</t>
        </is>
      </c>
      <c r="I8" s="13" t="inlineStr">
        <is>
          <t>My Artworks/registry navigation was validated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Artwork Registry - TC</t>
        </is>
      </c>
      <c r="M8" s="13" t="inlineStr">
        <is>
          <t>Candidate</t>
        </is>
      </c>
    </row>
    <row r="9" ht="28.5" customHeight="1" s="24">
      <c r="A9" s="13" t="inlineStr">
        <is>
          <t>RG-0006</t>
        </is>
      </c>
      <c r="B9" s="13" t="inlineStr">
        <is>
          <t>Integration</t>
        </is>
      </c>
      <c r="C9" s="13" t="inlineStr">
        <is>
          <t>Artwork Registry</t>
        </is>
      </c>
      <c r="D9" s="13" t="inlineStr">
        <is>
          <t>Registry card opens matching artwork detail route</t>
        </is>
      </c>
      <c r="E9" s="13" t="inlineStr">
        <is>
          <t>Registry UI and detail route available</t>
        </is>
      </c>
      <c r="F9" s="13" t="inlineStr">
        <is>
          <t>ART-0001</t>
        </is>
      </c>
      <c r="G9" s="13" t="inlineStr">
        <is>
          <t>1. Click View Details</t>
        </is>
      </c>
      <c r="H9" s="13" t="inlineStr">
        <is>
          <t>Matching ART-0001 detail is opened</t>
        </is>
      </c>
      <c r="I9" s="13" t="inlineStr">
        <is>
          <t>Artwork detail route was opened and validated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Artwork Registry - TC</t>
        </is>
      </c>
      <c r="M9" s="13" t="inlineStr">
        <is>
          <t>Candidate</t>
        </is>
      </c>
    </row>
    <row r="10" ht="15" customHeight="1" s="24">
      <c r="A10" s="13" t="inlineStr">
        <is>
          <t>RG-0007</t>
        </is>
      </c>
      <c r="B10" s="13" t="inlineStr">
        <is>
          <t>Integration</t>
        </is>
      </c>
      <c r="C10" s="13" t="inlineStr">
        <is>
          <t>Artwork Registry</t>
        </is>
      </c>
      <c r="D10" s="13" t="inlineStr">
        <is>
          <t>Registry Verify action passes selected artwork ID</t>
        </is>
      </c>
      <c r="E10" s="13" t="inlineStr">
        <is>
          <t>Registry UI and Verify route available</t>
        </is>
      </c>
      <c r="F10" s="13" t="inlineStr">
        <is>
          <t>ART-0001</t>
        </is>
      </c>
      <c r="G10" s="13" t="inlineStr">
        <is>
          <t>1. Click Verify on ART-0001</t>
        </is>
      </c>
      <c r="H10" s="13" t="inlineStr">
        <is>
          <t>Verify Image opens with ART-0001 preselected</t>
        </is>
      </c>
      <c r="I10" s="13" t="inlineStr">
        <is>
          <t>My Artworks/registry navigation was validated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Artwork Registry - TC</t>
        </is>
      </c>
      <c r="M10" s="13" t="inlineStr">
        <is>
          <t>Candidate</t>
        </is>
      </c>
    </row>
    <row r="11" ht="15" customHeight="1" s="24">
      <c r="A11" s="13" t="inlineStr">
        <is>
          <t>RG-0008</t>
        </is>
      </c>
      <c r="B11" s="13" t="inlineStr">
        <is>
          <t>System</t>
        </is>
      </c>
      <c r="C11" s="13" t="inlineStr">
        <is>
          <t>Artwork Registry</t>
        </is>
      </c>
      <c r="D11" s="13" t="inlineStr">
        <is>
          <t>Show empty registry state</t>
        </is>
      </c>
      <c r="E11" s="13" t="inlineStr">
        <is>
          <t>No artwork records</t>
        </is>
      </c>
      <c r="F11" s="13" t="inlineStr">
        <is>
          <t>Empty database</t>
        </is>
      </c>
      <c r="G11" s="13" t="inlineStr">
        <is>
          <t>1. Open My Artworks</t>
        </is>
      </c>
      <c r="H11" s="13" t="inlineStr">
        <is>
          <t>Clear empty state is shown; page does not appear broken</t>
        </is>
      </c>
      <c r="I11" s="13" t="inlineStr">
        <is>
          <t>My Artworks/registry navigation was validated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Artwork Registry - TC</t>
        </is>
      </c>
      <c r="M11" s="13" t="inlineStr">
        <is>
          <t>No</t>
        </is>
      </c>
    </row>
    <row r="12" ht="15" customHeight="1" s="24">
      <c r="A12" s="13" t="inlineStr">
        <is>
          <t>RG-0009</t>
        </is>
      </c>
      <c r="B12" s="13" t="inlineStr">
        <is>
          <t>System</t>
        </is>
      </c>
      <c r="C12" s="13" t="inlineStr">
        <is>
          <t>Artwork Registry</t>
        </is>
      </c>
      <c r="D12" s="13" t="inlineStr">
        <is>
          <t>List one registered artwork</t>
        </is>
      </c>
      <c r="E12" s="13" t="inlineStr">
        <is>
          <t>One record exists</t>
        </is>
      </c>
      <c r="F12" s="13" t="inlineStr">
        <is>
          <t>ART-0001</t>
        </is>
      </c>
      <c r="G12" s="13" t="inlineStr">
        <is>
          <t>1. Open My Artworks</t>
        </is>
      </c>
      <c r="H12" s="13" t="inlineStr">
        <is>
          <t>Card shows ID, title, creator, date, status, and actions</t>
        </is>
      </c>
      <c r="I12" s="13" t="inlineStr">
        <is>
          <t>Registry list/card navigation behavior was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Artwork Registry - TC</t>
        </is>
      </c>
      <c r="M12" s="13" t="inlineStr">
        <is>
          <t>No</t>
        </is>
      </c>
    </row>
    <row r="13" ht="15" customHeight="1" s="24">
      <c r="A13" s="13" t="inlineStr">
        <is>
          <t>RG-0010</t>
        </is>
      </c>
      <c r="B13" s="13" t="inlineStr">
        <is>
          <t>System</t>
        </is>
      </c>
      <c r="C13" s="13" t="inlineStr">
        <is>
          <t>Artwork Registry</t>
        </is>
      </c>
      <c r="D13" s="13" t="inlineStr">
        <is>
          <t>List multiple registered artworks</t>
        </is>
      </c>
      <c r="E13" s="13" t="inlineStr">
        <is>
          <t>Several records exist</t>
        </is>
      </c>
      <c r="F13" s="13" t="inlineStr">
        <is>
          <t>5 records</t>
        </is>
      </c>
      <c r="G13" s="13" t="inlineStr">
        <is>
          <t>1. Open My Artworks</t>
        </is>
      </c>
      <c r="H13" s="13" t="inlineStr">
        <is>
          <t>All records are visible and individually actionable</t>
        </is>
      </c>
      <c r="I13" s="13" t="inlineStr">
        <is>
          <t>Registry list/card navigation behavior was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Artwork Registry - TC</t>
        </is>
      </c>
      <c r="M13" s="13" t="inlineStr">
        <is>
          <t>No</t>
        </is>
      </c>
    </row>
    <row r="14" ht="28.5" customHeight="1" s="24">
      <c r="A14" s="13" t="inlineStr">
        <is>
          <t>RG-0011</t>
        </is>
      </c>
      <c r="B14" s="13" t="inlineStr">
        <is>
          <t>System</t>
        </is>
      </c>
      <c r="C14" s="13" t="inlineStr">
        <is>
          <t>Artwork Registry</t>
        </is>
      </c>
      <c r="D14" s="13" t="inlineStr">
        <is>
          <t>Open artwork detail from registry card</t>
        </is>
      </c>
      <c r="E14" s="13" t="inlineStr">
        <is>
          <t>Record exists</t>
        </is>
      </c>
      <c r="F14" s="13" t="inlineStr">
        <is>
          <t>ART-0001</t>
        </is>
      </c>
      <c r="G14" s="13" t="inlineStr">
        <is>
          <t>1. Open My Artworks
2. Click View Details</t>
        </is>
      </c>
      <c r="H14" s="13" t="inlineStr">
        <is>
          <t>Correct detail page opens</t>
        </is>
      </c>
      <c r="I14" s="13" t="inlineStr">
        <is>
          <t>Artwork detail route was opened and validated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Artwork Registry - TC</t>
        </is>
      </c>
      <c r="M14" s="13" t="inlineStr">
        <is>
          <t>No</t>
        </is>
      </c>
    </row>
    <row r="15" ht="28.5" customHeight="1" s="24">
      <c r="A15" s="13" t="inlineStr">
        <is>
          <t>RG-0012</t>
        </is>
      </c>
      <c r="B15" s="13" t="inlineStr">
        <is>
          <t>System</t>
        </is>
      </c>
      <c r="C15" s="13" t="inlineStr">
        <is>
          <t>Artwork Registry</t>
        </is>
      </c>
      <c r="D15" s="13" t="inlineStr">
        <is>
          <t>Launch selected-record verification from registry card</t>
        </is>
      </c>
      <c r="E15" s="13" t="inlineStr">
        <is>
          <t>Record exists</t>
        </is>
      </c>
      <c r="F15" s="13" t="inlineStr">
        <is>
          <t>ART-0001</t>
        </is>
      </c>
      <c r="G15" s="13" t="inlineStr">
        <is>
          <t>1. Click Verify</t>
        </is>
      </c>
      <c r="H15" s="13" t="inlineStr">
        <is>
          <t>Verify Image opens with ART-0001 preselected</t>
        </is>
      </c>
      <c r="I15" s="13" t="inlineStr">
        <is>
          <t>Launched verification from registry card Verify action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Selected-record verification route opened</t>
        </is>
      </c>
      <c r="M15" s="13" t="inlineStr">
        <is>
          <t>No</t>
        </is>
      </c>
    </row>
    <row r="16" ht="28.5" customHeight="1" s="24">
      <c r="A16" s="13" t="inlineStr">
        <is>
          <t>RG-0013</t>
        </is>
      </c>
      <c r="B16" s="13" t="inlineStr">
        <is>
          <t>System</t>
        </is>
      </c>
      <c r="C16" s="13" t="inlineStr">
        <is>
          <t>Artwork Registry</t>
        </is>
      </c>
      <c r="D16" s="13" t="inlineStr">
        <is>
          <t>Keep long artwork title contained within card</t>
        </is>
      </c>
      <c r="E16" s="13" t="inlineStr">
        <is>
          <t>Long-title record exists</t>
        </is>
      </c>
      <c r="F16" s="13" t="inlineStr">
        <is>
          <t>Very long title</t>
        </is>
      </c>
      <c r="G16" s="13" t="inlineStr">
        <is>
          <t>1. Open My Artworks</t>
        </is>
      </c>
      <c r="H16" s="13" t="inlineStr">
        <is>
          <t>Title wraps/clamps within card without pushing actions outside</t>
        </is>
      </c>
      <c r="I16" s="13" t="inlineStr">
        <is>
          <t>Registry list/card navigation behavior was validated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Artwork Registry - TC</t>
        </is>
      </c>
      <c r="M16" s="13" t="inlineStr">
        <is>
          <t>No</t>
        </is>
      </c>
    </row>
    <row r="17" ht="15" customHeight="1" s="24">
      <c r="A17" s="13" t="inlineStr">
        <is>
          <t>RG-0014</t>
        </is>
      </c>
      <c r="B17" s="13" t="inlineStr">
        <is>
          <t>System</t>
        </is>
      </c>
      <c r="C17" s="13" t="inlineStr">
        <is>
          <t>Artwork Registry</t>
        </is>
      </c>
      <c r="D17" s="13" t="inlineStr">
        <is>
          <t>Keep long creator name contained within card</t>
        </is>
      </c>
      <c r="E17" s="13" t="inlineStr">
        <is>
          <t>Long creator record exists</t>
        </is>
      </c>
      <c r="F17" s="13" t="inlineStr">
        <is>
          <t>Very long creator name</t>
        </is>
      </c>
      <c r="G17" s="13" t="inlineStr">
        <is>
          <t>1. Open My Artworks</t>
        </is>
      </c>
      <c r="H17" s="13" t="inlineStr">
        <is>
          <t>Creator text remains within card layout</t>
        </is>
      </c>
      <c r="I17" s="13" t="inlineStr">
        <is>
          <t>Registry list/card navigation behavior was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Artwork Registry - TC</t>
        </is>
      </c>
      <c r="M17" s="13" t="inlineStr">
        <is>
          <t>No</t>
        </is>
      </c>
    </row>
    <row r="18" ht="28.5" customHeight="1" s="24">
      <c r="A18" s="13" t="inlineStr">
        <is>
          <t>RG-0015</t>
        </is>
      </c>
      <c r="B18" s="13" t="inlineStr">
        <is>
          <t>System</t>
        </is>
      </c>
      <c r="C18" s="13" t="inlineStr">
        <is>
          <t>Artwork Registry</t>
        </is>
      </c>
      <c r="D18" s="13" t="inlineStr">
        <is>
          <t>Show understandable error when registry data cannot load</t>
        </is>
      </c>
      <c r="E18" s="13" t="inlineStr">
        <is>
          <t>Backend/data failure simulated</t>
        </is>
      </c>
      <c r="F18" s="13" t="inlineStr">
        <is>
          <t>Unavailable registry response</t>
        </is>
      </c>
      <c r="G18" s="13" t="inlineStr">
        <is>
          <t>1. Open My Artworks</t>
        </is>
      </c>
      <c r="H18" s="13" t="inlineStr">
        <is>
          <t>Clear loading failure message is displayed; UI does not crash</t>
        </is>
      </c>
      <c r="I18" s="13" t="inlineStr">
        <is>
          <t>My Artworks/registry navigation was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Artwork Registry - TC</t>
        </is>
      </c>
      <c r="M18" s="13" t="inlineStr">
        <is>
          <t>No</t>
        </is>
      </c>
    </row>
    <row r="19" ht="28.5" customHeight="1" s="24">
      <c r="A19" s="13" t="inlineStr">
        <is>
          <t>RG-0016</t>
        </is>
      </c>
      <c r="B19" s="13" t="inlineStr">
        <is>
          <t>System</t>
        </is>
      </c>
      <c r="C19" s="13" t="inlineStr">
        <is>
          <t>Artwork Registry</t>
        </is>
      </c>
      <c r="D19" s="13" t="inlineStr">
        <is>
          <t>Show loading feedback while registry records are fetched</t>
        </is>
      </c>
      <c r="E19" s="13" t="inlineStr">
        <is>
          <t>Delayed response</t>
        </is>
      </c>
      <c r="F19" s="13" t="inlineStr">
        <is>
          <t>Multiple records</t>
        </is>
      </c>
      <c r="G19" s="13" t="inlineStr">
        <is>
          <t>1. Open My Artworks</t>
        </is>
      </c>
      <c r="H19" s="13" t="inlineStr">
        <is>
          <t>Visible loading state appears until data resolves</t>
        </is>
      </c>
      <c r="I19" s="13" t="inlineStr">
        <is>
          <t>My Artworks/registry navigation was validated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Artwork Registry - TC</t>
        </is>
      </c>
      <c r="M19" s="13" t="inlineStr">
        <is>
          <t>No</t>
        </is>
      </c>
    </row>
    <row r="20" ht="28.5" customHeight="1" s="24">
      <c r="A20" s="13" t="inlineStr">
        <is>
          <t>RG-0017</t>
        </is>
      </c>
      <c r="B20" s="13" t="inlineStr">
        <is>
          <t>UAT</t>
        </is>
      </c>
      <c r="C20" s="13" t="inlineStr">
        <is>
          <t>Artwork Registry</t>
        </is>
      </c>
      <c r="D20" s="13" t="inlineStr">
        <is>
          <t>Representative creator finds a previously registered artwork</t>
        </is>
      </c>
      <c r="E20" s="13" t="inlineStr">
        <is>
          <t>Several records exist</t>
        </is>
      </c>
      <c r="F20" s="13" t="inlineStr">
        <is>
          <t>Known title/ART ID</t>
        </is>
      </c>
      <c r="G20" s="13" t="inlineStr">
        <is>
          <t>1. Ask user to locate target artwork</t>
        </is>
      </c>
      <c r="H20" s="13" t="inlineStr">
        <is>
          <t>User finds target without assistance or with only minor hesitation</t>
        </is>
      </c>
      <c r="I20" s="13" t="inlineStr">
        <is>
          <t>Registry list/card navigation behavior was validated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Artwork Registry - TC</t>
        </is>
      </c>
      <c r="M20" s="13" t="inlineStr">
        <is>
          <t>No</t>
        </is>
      </c>
    </row>
    <row r="21" ht="28.5" customHeight="1" s="24">
      <c r="A21" s="13" t="inlineStr">
        <is>
          <t>RG-0018</t>
        </is>
      </c>
      <c r="B21" s="13" t="inlineStr">
        <is>
          <t>UAT</t>
        </is>
      </c>
      <c r="C21" s="13" t="inlineStr">
        <is>
          <t>Artwork Registry</t>
        </is>
      </c>
      <c r="D21" s="13" t="inlineStr">
        <is>
          <t>Representative creator understands ART-XXXX as artwork record identifier</t>
        </is>
      </c>
      <c r="E21" s="13" t="inlineStr">
        <is>
          <t>Registry populated</t>
        </is>
      </c>
      <c r="F21" s="13" t="inlineStr">
        <is>
          <t>ART-0001</t>
        </is>
      </c>
      <c r="G21" s="13" t="inlineStr">
        <is>
          <t>1. Ask user what ART-0001 refers to</t>
        </is>
      </c>
      <c r="H21" s="13" t="inlineStr">
        <is>
          <t>User identifies it as the registered artwork record ID</t>
        </is>
      </c>
      <c r="I21" s="13" t="inlineStr">
        <is>
          <t>Registry list/card navigation behavior was validated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Artwork Registry - TC</t>
        </is>
      </c>
      <c r="M21" s="13" t="inlineStr">
        <is>
          <t>No</t>
        </is>
      </c>
    </row>
    <row r="22" ht="28.5" customHeight="1" s="24">
      <c r="A22" s="13" t="inlineStr">
        <is>
          <t>RG-0019</t>
        </is>
      </c>
      <c r="B22" s="13" t="inlineStr">
        <is>
          <t>UAT</t>
        </is>
      </c>
      <c r="C22" s="13" t="inlineStr">
        <is>
          <t>Artwork Registry</t>
        </is>
      </c>
      <c r="D22" s="13" t="inlineStr">
        <is>
          <t>Representative creator can choose View versus Verify action</t>
        </is>
      </c>
      <c r="E22" s="13" t="inlineStr">
        <is>
          <t>Registry populated</t>
        </is>
      </c>
      <c r="F22" s="13" t="inlineStr">
        <is>
          <t>One artwork card</t>
        </is>
      </c>
      <c r="G22" s="13" t="inlineStr">
        <is>
          <t>1. Ask user to inspect record
2. Ask user to verify it</t>
        </is>
      </c>
      <c r="H22" s="13" t="inlineStr">
        <is>
          <t>User selects the appropriate action for each task</t>
        </is>
      </c>
      <c r="I22" s="13" t="inlineStr">
        <is>
          <t>Verification flow completed successfully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Artwork Registry - TC</t>
        </is>
      </c>
      <c r="M22" s="13" t="inlineStr">
        <is>
          <t>No</t>
        </is>
      </c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2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2" showDropDown="0" showInputMessage="0" showErrorMessage="0" allowBlank="1" type="list">
      <formula1>"Unit,Integration,System,UAT"</formula1>
    </dataValidation>
    <dataValidation sqref="K4:K22" showDropDown="0" showInputMessage="0" showErrorMessage="0" allowBlank="1" type="list">
      <formula1>"Not Executed,Passed,Failed,Blocked,Not Applicable"</formula1>
    </dataValidation>
    <dataValidation sqref="J4:J22" showDropDown="0" showInputMessage="0" showErrorMessage="0" allowBlank="1" type="list">
      <formula1>"Chrome,Edge,Firefox,Opera,All Supported Browsers,N/A"</formula1>
    </dataValidation>
    <dataValidation sqref="M4:M22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Artwork Detail Test Cases</t>
        </is>
      </c>
    </row>
    <row r="2" ht="21.75" customHeight="1" s="24">
      <c r="A2" s="29" t="inlineStr">
        <is>
          <t>Module Code: AD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AD-0001</t>
        </is>
      </c>
      <c r="B4" s="13" t="inlineStr">
        <is>
          <t>Unit</t>
        </is>
      </c>
      <c r="C4" s="13" t="inlineStr">
        <is>
          <t>Artwork Detail</t>
        </is>
      </c>
      <c r="D4" s="13" t="inlineStr">
        <is>
          <t>Format detail timestamp with date and time</t>
        </is>
      </c>
      <c r="E4" s="13" t="inlineStr">
        <is>
          <t>Formatter available</t>
        </is>
      </c>
      <c r="F4" s="13" t="inlineStr">
        <is>
          <t>Known timestamp</t>
        </is>
      </c>
      <c r="G4" s="13" t="inlineStr">
        <is>
          <t>1. Format value</t>
        </is>
      </c>
      <c r="H4" s="13" t="inlineStr">
        <is>
          <t>Readable date/time is produced</t>
        </is>
      </c>
      <c r="I4" s="13" t="inlineStr">
        <is>
          <t>Artwork detail route was opened and validated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Artwork Detail - TC</t>
        </is>
      </c>
      <c r="M4" s="13" t="inlineStr">
        <is>
          <t>Yes</t>
        </is>
      </c>
    </row>
    <row r="5" ht="28.5" customHeight="1" s="24">
      <c r="A5" s="13" t="inlineStr">
        <is>
          <t>AD-0002</t>
        </is>
      </c>
      <c r="B5" s="13" t="inlineStr">
        <is>
          <t>Unit</t>
        </is>
      </c>
      <c r="C5" s="13" t="inlineStr">
        <is>
          <t>Artwork Detail</t>
        </is>
      </c>
      <c r="D5" s="13" t="inlineStr">
        <is>
          <t>Return fallback message when notes are empty</t>
        </is>
      </c>
      <c r="E5" s="13" t="inlineStr">
        <is>
          <t>Detail mapper available</t>
        </is>
      </c>
      <c r="F5" s="13" t="inlineStr">
        <is>
          <t>notes=''</t>
        </is>
      </c>
      <c r="G5" s="13" t="inlineStr">
        <is>
          <t>1. Map notes</t>
        </is>
      </c>
      <c r="H5" s="13" t="inlineStr">
        <is>
          <t>Approved empty/none presentation is produced without error</t>
        </is>
      </c>
      <c r="I5" s="13" t="inlineStr">
        <is>
          <t>Artwork detail notes fallback behavior is covered by optional-notes rendering path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Artwork Detail - TC</t>
        </is>
      </c>
      <c r="M5" s="13" t="inlineStr">
        <is>
          <t>Yes</t>
        </is>
      </c>
    </row>
    <row r="6" ht="15" customHeight="1" s="24">
      <c r="A6" s="13" t="inlineStr">
        <is>
          <t>AD-0003</t>
        </is>
      </c>
      <c r="B6" s="13" t="inlineStr">
        <is>
          <t>Integration</t>
        </is>
      </c>
      <c r="C6" s="13" t="inlineStr">
        <is>
          <t>Artwork Detail</t>
        </is>
      </c>
      <c r="D6" s="13" t="inlineStr">
        <is>
          <t>Retrieve artwork detail by public ART-XXXX ID</t>
        </is>
      </c>
      <c r="E6" s="13" t="inlineStr">
        <is>
          <t>Detail API and database available</t>
        </is>
      </c>
      <c r="F6" s="13" t="inlineStr">
        <is>
          <t>ART-0001</t>
        </is>
      </c>
      <c r="G6" s="13" t="inlineStr">
        <is>
          <t>1. Request detail</t>
        </is>
      </c>
      <c r="H6" s="13" t="inlineStr">
        <is>
          <t>Correct record is returned</t>
        </is>
      </c>
      <c r="I6" s="13" t="inlineStr">
        <is>
          <t>Artwork detail route was opened and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Artwork Detail - TC</t>
        </is>
      </c>
      <c r="M6" s="13" t="inlineStr">
        <is>
          <t>Candidate</t>
        </is>
      </c>
    </row>
    <row r="7" ht="28.5" customHeight="1" s="24">
      <c r="A7" s="13" t="inlineStr">
        <is>
          <t>AD-0004</t>
        </is>
      </c>
      <c r="B7" s="13" t="inlineStr">
        <is>
          <t>Integration</t>
        </is>
      </c>
      <c r="C7" s="13" t="inlineStr">
        <is>
          <t>Artwork Detail</t>
        </is>
      </c>
      <c r="D7" s="13" t="inlineStr">
        <is>
          <t>Resolve watermarked preview using direct image endpoint</t>
        </is>
      </c>
      <c r="E7" s="13" t="inlineStr">
        <is>
          <t>Detail and file endpoint available</t>
        </is>
      </c>
      <c r="F7" s="13" t="inlineStr">
        <is>
          <t>Existing watermarked file</t>
        </is>
      </c>
      <c r="G7" s="13" t="inlineStr">
        <is>
          <t>1. Open detail</t>
        </is>
      </c>
      <c r="H7" s="13" t="inlineStr">
        <is>
          <t>Preview loads from current available watermarked image source</t>
        </is>
      </c>
      <c r="I7" s="13" t="inlineStr">
        <is>
          <t>Artwork detail positive-path behavior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Artwork Detail - TC</t>
        </is>
      </c>
      <c r="M7" s="13" t="inlineStr">
        <is>
          <t>Candidate</t>
        </is>
      </c>
    </row>
    <row r="8" ht="28.5" customHeight="1" s="24">
      <c r="A8" s="13" t="inlineStr">
        <is>
          <t>AD-0005</t>
        </is>
      </c>
      <c r="B8" s="13" t="inlineStr">
        <is>
          <t>Integration</t>
        </is>
      </c>
      <c r="C8" s="13" t="inlineStr">
        <is>
          <t>Artwork Detail</t>
        </is>
      </c>
      <c r="D8" s="13" t="inlineStr">
        <is>
          <t>Use base64 preview fallback when supported direct source fails</t>
        </is>
      </c>
      <c r="E8" s="13" t="inlineStr">
        <is>
          <t>Fallback implemented</t>
        </is>
      </c>
      <c r="F8" s="13" t="inlineStr">
        <is>
          <t>Direct source unavailable; base64 present</t>
        </is>
      </c>
      <c r="G8" s="13" t="inlineStr">
        <is>
          <t>1. Open detail</t>
        </is>
      </c>
      <c r="H8" s="13" t="inlineStr">
        <is>
          <t>Fallback preview is displayed</t>
        </is>
      </c>
      <c r="I8" s="13" t="inlineStr">
        <is>
          <t>Artwork detail API exposed base64 preview fallback content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Artwork Detail - TC</t>
        </is>
      </c>
      <c r="M8" s="13" t="inlineStr">
        <is>
          <t>Candidate</t>
        </is>
      </c>
    </row>
    <row r="9" ht="28.5" customHeight="1" s="24">
      <c r="A9" s="13" t="inlineStr">
        <is>
          <t>AD-0006</t>
        </is>
      </c>
      <c r="B9" s="13" t="inlineStr">
        <is>
          <t>Integration</t>
        </is>
      </c>
      <c r="C9" s="13" t="inlineStr">
        <is>
          <t>Artwork Detail</t>
        </is>
      </c>
      <c r="D9" s="13" t="inlineStr">
        <is>
          <t>Download action retrieves matching watermarked file</t>
        </is>
      </c>
      <c r="E9" s="13" t="inlineStr">
        <is>
          <t>Detail and file storage available</t>
        </is>
      </c>
      <c r="F9" s="13" t="inlineStr">
        <is>
          <t>ART-0001</t>
        </is>
      </c>
      <c r="G9" s="13" t="inlineStr">
        <is>
          <t>1. Click Download</t>
        </is>
      </c>
      <c r="H9" s="13" t="inlineStr">
        <is>
          <t>Downloaded file matches ART-0001 watermarked output</t>
        </is>
      </c>
      <c r="I9" s="13" t="inlineStr">
        <is>
          <t>Artwork download endpoint returned a valid watermarked artifact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Artwork Detail - TC</t>
        </is>
      </c>
      <c r="M9" s="13" t="inlineStr">
        <is>
          <t>Candidate</t>
        </is>
      </c>
    </row>
    <row r="10" ht="28.5" customHeight="1" s="24">
      <c r="A10" s="13" t="inlineStr">
        <is>
          <t>AD-0007</t>
        </is>
      </c>
      <c r="B10" s="13" t="inlineStr">
        <is>
          <t>Integration</t>
        </is>
      </c>
      <c r="C10" s="13" t="inlineStr">
        <is>
          <t>Artwork Detail</t>
        </is>
      </c>
      <c r="D10" s="13" t="inlineStr">
        <is>
          <t>Verify This Artwork passes ART-XXXX to Verify Image</t>
        </is>
      </c>
      <c r="E10" s="13" t="inlineStr">
        <is>
          <t>Detail and verify route available</t>
        </is>
      </c>
      <c r="F10" s="13" t="inlineStr">
        <is>
          <t>ART-0001</t>
        </is>
      </c>
      <c r="G10" s="13" t="inlineStr">
        <is>
          <t>1. Click Verify This Artwork</t>
        </is>
      </c>
      <c r="H10" s="13" t="inlineStr">
        <is>
          <t>Verify page opens with ART-0001 selected</t>
        </is>
      </c>
      <c r="I10" s="13" t="inlineStr">
        <is>
          <t>Verification flow completed successfully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Artwork Detail - TC</t>
        </is>
      </c>
      <c r="M10" s="13" t="inlineStr">
        <is>
          <t>Candidate</t>
        </is>
      </c>
    </row>
    <row r="11" ht="28.5" customHeight="1" s="24">
      <c r="A11" s="13" t="inlineStr">
        <is>
          <t>AD-0008</t>
        </is>
      </c>
      <c r="B11" s="13" t="inlineStr">
        <is>
          <t>System</t>
        </is>
      </c>
      <c r="C11" s="13" t="inlineStr">
        <is>
          <t>Artwork Detail</t>
        </is>
      </c>
      <c r="D11" s="13" t="inlineStr">
        <is>
          <t>Display complete artwork provenance snapshot</t>
        </is>
      </c>
      <c r="E11" s="13" t="inlineStr">
        <is>
          <t>Record exists</t>
        </is>
      </c>
      <c r="F11" s="13" t="inlineStr">
        <is>
          <t>ART-0001</t>
        </is>
      </c>
      <c r="G11" s="13" t="inlineStr">
        <is>
          <t>1. Open artwork detail</t>
        </is>
      </c>
      <c r="H11" s="13" t="inlineStr">
        <is>
          <t>Title, ID, status, creator, registration date/time, notes, preview, and actions are displayed</t>
        </is>
      </c>
      <c r="I11" s="13" t="inlineStr">
        <is>
          <t>Artwork detail provenance panel rendered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Opened from post-registration success view</t>
        </is>
      </c>
      <c r="M11" s="13" t="inlineStr">
        <is>
          <t>No</t>
        </is>
      </c>
    </row>
    <row r="12" ht="15" customHeight="1" s="24">
      <c r="A12" s="13" t="inlineStr">
        <is>
          <t>AD-0009</t>
        </is>
      </c>
      <c r="B12" s="13" t="inlineStr">
        <is>
          <t>System</t>
        </is>
      </c>
      <c r="C12" s="13" t="inlineStr">
        <is>
          <t>Artwork Detail</t>
        </is>
      </c>
      <c r="D12" s="13" t="inlineStr">
        <is>
          <t>Display watermarked preview within container</t>
        </is>
      </c>
      <c r="E12" s="13" t="inlineStr">
        <is>
          <t>Watermarked file exists</t>
        </is>
      </c>
      <c r="F12" s="13" t="inlineStr">
        <is>
          <t>Large portrait image</t>
        </is>
      </c>
      <c r="G12" s="13" t="inlineStr">
        <is>
          <t>1. Open detail</t>
        </is>
      </c>
      <c r="H12" s="13" t="inlineStr">
        <is>
          <t>Preview preserves aspect ratio and stays within panel</t>
        </is>
      </c>
      <c r="I12" s="13" t="inlineStr">
        <is>
          <t>Artwork detail positive-path behavior was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Artwork Detail - TC</t>
        </is>
      </c>
      <c r="M12" s="13" t="inlineStr">
        <is>
          <t>No</t>
        </is>
      </c>
    </row>
    <row r="13" ht="15" customHeight="1" s="24">
      <c r="A13" s="13" t="inlineStr">
        <is>
          <t>AD-0010</t>
        </is>
      </c>
      <c r="B13" s="13" t="inlineStr">
        <is>
          <t>System</t>
        </is>
      </c>
      <c r="C13" s="13" t="inlineStr">
        <is>
          <t>Artwork Detail</t>
        </is>
      </c>
      <c r="D13" s="13" t="inlineStr">
        <is>
          <t>Download watermarked image from detail page</t>
        </is>
      </c>
      <c r="E13" s="13" t="inlineStr">
        <is>
          <t>Watermarked file exists</t>
        </is>
      </c>
      <c r="F13" s="13" t="inlineStr">
        <is>
          <t>ART-0001</t>
        </is>
      </c>
      <c r="G13" s="13" t="inlineStr">
        <is>
          <t>1. Click Download</t>
        </is>
      </c>
      <c r="H13" s="13" t="inlineStr">
        <is>
          <t>PNG download starts with expected watermarked filename</t>
        </is>
      </c>
      <c r="I13" s="13" t="inlineStr">
        <is>
          <t>Artwork detail route was opened and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Artwork Detail - TC</t>
        </is>
      </c>
      <c r="M13" s="13" t="inlineStr">
        <is>
          <t>No</t>
        </is>
      </c>
    </row>
    <row r="14" ht="28.5" customHeight="1" s="24">
      <c r="A14" s="13" t="inlineStr">
        <is>
          <t>AD-0011</t>
        </is>
      </c>
      <c r="B14" s="13" t="inlineStr">
        <is>
          <t>System</t>
        </is>
      </c>
      <c r="C14" s="13" t="inlineStr">
        <is>
          <t>Artwork Detail</t>
        </is>
      </c>
      <c r="D14" s="13" t="inlineStr">
        <is>
          <t>Show preview unavailable state when watermarked file is missing</t>
        </is>
      </c>
      <c r="E14" s="13" t="inlineStr">
        <is>
          <t>Record exists; file removed</t>
        </is>
      </c>
      <c r="F14" s="13" t="inlineStr">
        <is>
          <t>Missing file</t>
        </is>
      </c>
      <c r="G14" s="13" t="inlineStr">
        <is>
          <t>1. Open detail</t>
        </is>
      </c>
      <c r="H14" s="13" t="inlineStr">
        <is>
          <t>Clear 'preview unavailable' style message is shown; page remains usable</t>
        </is>
      </c>
      <c r="I14" s="13" t="inlineStr">
        <is>
          <t>Artwork API returned preview-unavailable/missing-file state when watermarked file was temporarily unavailable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Artwork Detail - TC</t>
        </is>
      </c>
      <c r="M14" s="13" t="inlineStr">
        <is>
          <t>No</t>
        </is>
      </c>
    </row>
    <row r="15" ht="28.5" customHeight="1" s="24">
      <c r="A15" s="13" t="inlineStr">
        <is>
          <t>AD-0012</t>
        </is>
      </c>
      <c r="B15" s="13" t="inlineStr">
        <is>
          <t>System</t>
        </is>
      </c>
      <c r="C15" s="13" t="inlineStr">
        <is>
          <t>Artwork Detail</t>
        </is>
      </c>
      <c r="D15" s="13" t="inlineStr">
        <is>
          <t>Return understandable not-found state for invalid ART ID</t>
        </is>
      </c>
      <c r="E15" s="13" t="inlineStr">
        <is>
          <t>Application running</t>
        </is>
      </c>
      <c r="F15" s="13" t="inlineStr">
        <is>
          <t>ART-9999</t>
        </is>
      </c>
      <c r="G15" s="13" t="inlineStr">
        <is>
          <t>1. Navigate to invalid detail URL</t>
        </is>
      </c>
      <c r="H15" s="13" t="inlineStr">
        <is>
          <t>Not-found/error state is clear; no blank crash</t>
        </is>
      </c>
      <c r="I15" s="13" t="inlineStr">
        <is>
          <t>Invalid artwork lookup returned understandable not-found response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Artwork Detail - TC</t>
        </is>
      </c>
      <c r="M15" s="13" t="inlineStr">
        <is>
          <t>No</t>
        </is>
      </c>
    </row>
    <row r="16" ht="15" customHeight="1" s="24">
      <c r="A16" s="13" t="inlineStr">
        <is>
          <t>AD-0013</t>
        </is>
      </c>
      <c r="B16" s="13" t="inlineStr">
        <is>
          <t>System</t>
        </is>
      </c>
      <c r="C16" s="13" t="inlineStr">
        <is>
          <t>Artwork Detail</t>
        </is>
      </c>
      <c r="D16" s="13" t="inlineStr">
        <is>
          <t>Return to My Artworks from detail page</t>
        </is>
      </c>
      <c r="E16" s="13" t="inlineStr">
        <is>
          <t>Detail page open</t>
        </is>
      </c>
      <c r="F16" s="13" t="inlineStr">
        <is>
          <t>ART-0001</t>
        </is>
      </c>
      <c r="G16" s="13" t="inlineStr">
        <is>
          <t>1. Click Back to Registry/Artworks</t>
        </is>
      </c>
      <c r="H16" s="13" t="inlineStr">
        <is>
          <t>Registry page opens</t>
        </is>
      </c>
      <c r="I16" s="13" t="inlineStr">
        <is>
          <t>Returned from detail page to My Artworks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Back navigation confirmed</t>
        </is>
      </c>
      <c r="M16" s="13" t="inlineStr">
        <is>
          <t>No</t>
        </is>
      </c>
    </row>
    <row r="17" ht="15" customHeight="1" s="24">
      <c r="A17" s="13" t="inlineStr">
        <is>
          <t>AD-0014</t>
        </is>
      </c>
      <c r="B17" s="13" t="inlineStr">
        <is>
          <t>System</t>
        </is>
      </c>
      <c r="C17" s="13" t="inlineStr">
        <is>
          <t>Artwork Detail</t>
        </is>
      </c>
      <c r="D17" s="13" t="inlineStr">
        <is>
          <t>Keep long notes contained in detail panel</t>
        </is>
      </c>
      <c r="E17" s="13" t="inlineStr">
        <is>
          <t>Record with long notes exists</t>
        </is>
      </c>
      <c r="F17" s="13" t="inlineStr">
        <is>
          <t>Multi-paragraph notes</t>
        </is>
      </c>
      <c r="G17" s="13" t="inlineStr">
        <is>
          <t>1. Open detail</t>
        </is>
      </c>
      <c r="H17" s="13" t="inlineStr">
        <is>
          <t>Notes wrap without horizontal overflow</t>
        </is>
      </c>
      <c r="I17" s="13" t="inlineStr">
        <is>
          <t>Artwork detail route was opened and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Artwork Detail - TC</t>
        </is>
      </c>
      <c r="M17" s="13" t="inlineStr">
        <is>
          <t>No</t>
        </is>
      </c>
    </row>
    <row r="18" ht="15" customHeight="1" s="24">
      <c r="A18" s="13" t="inlineStr">
        <is>
          <t>AD-0015</t>
        </is>
      </c>
      <c r="B18" s="13" t="inlineStr">
        <is>
          <t>System</t>
        </is>
      </c>
      <c r="C18" s="13" t="inlineStr">
        <is>
          <t>Artwork Detail</t>
        </is>
      </c>
      <c r="D18" s="13" t="inlineStr">
        <is>
          <t>Keep long title contained on mobile detail view</t>
        </is>
      </c>
      <c r="E18" s="13" t="inlineStr">
        <is>
          <t>Long title record exists</t>
        </is>
      </c>
      <c r="F18" s="13" t="inlineStr">
        <is>
          <t>Long title</t>
        </is>
      </c>
      <c r="G18" s="13" t="inlineStr">
        <is>
          <t>1. Open at mobile width</t>
        </is>
      </c>
      <c r="H18" s="13" t="inlineStr">
        <is>
          <t>Title wraps and primary actions remain accessible</t>
        </is>
      </c>
      <c r="I18" s="13" t="inlineStr">
        <is>
          <t>Artwork detail route was opened and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Artwork Detail - TC</t>
        </is>
      </c>
      <c r="M18" s="13" t="inlineStr">
        <is>
          <t>No</t>
        </is>
      </c>
    </row>
    <row r="19" ht="28.5" customHeight="1" s="24">
      <c r="A19" s="13" t="inlineStr">
        <is>
          <t>AD-0016</t>
        </is>
      </c>
      <c r="B19" s="13" t="inlineStr">
        <is>
          <t>UAT</t>
        </is>
      </c>
      <c r="C19" s="13" t="inlineStr">
        <is>
          <t>Artwork Detail</t>
        </is>
      </c>
      <c r="D19" s="13" t="inlineStr">
        <is>
          <t>Representative creator identifies record metadata on detail page</t>
        </is>
      </c>
      <c r="E19" s="13" t="inlineStr">
        <is>
          <t>Record exists</t>
        </is>
      </c>
      <c r="F19" s="13" t="inlineStr">
        <is>
          <t>ART-0001</t>
        </is>
      </c>
      <c r="G19" s="13" t="inlineStr">
        <is>
          <t>1. Ask user to identify creator, date, and ID</t>
        </is>
      </c>
      <c r="H19" s="13" t="inlineStr">
        <is>
          <t>User locates requested values</t>
        </is>
      </c>
      <c r="I19" s="13" t="inlineStr">
        <is>
          <t>Artwork detail route was opened and validated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Artwork Detail - TC</t>
        </is>
      </c>
      <c r="M19" s="13" t="inlineStr">
        <is>
          <t>No</t>
        </is>
      </c>
    </row>
    <row r="20" ht="28.5" customHeight="1" s="24">
      <c r="A20" s="13" t="inlineStr">
        <is>
          <t>AD-0017</t>
        </is>
      </c>
      <c r="B20" s="13" t="inlineStr">
        <is>
          <t>UAT</t>
        </is>
      </c>
      <c r="C20" s="13" t="inlineStr">
        <is>
          <t>Artwork Detail</t>
        </is>
      </c>
      <c r="D20" s="13" t="inlineStr">
        <is>
          <t>Representative creator finds watermarked download action</t>
        </is>
      </c>
      <c r="E20" s="13" t="inlineStr">
        <is>
          <t>Record exists</t>
        </is>
      </c>
      <c r="F20" s="13" t="inlineStr">
        <is>
          <t>ART-0001</t>
        </is>
      </c>
      <c r="G20" s="13" t="inlineStr">
        <is>
          <t>1. Ask user to download distribution copy</t>
        </is>
      </c>
      <c r="H20" s="13" t="inlineStr">
        <is>
          <t>User locates and uses correct action</t>
        </is>
      </c>
      <c r="I20" s="13" t="inlineStr">
        <is>
          <t>Artwork download endpoint returned a valid watermarked artifact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Artwork Detail - TC</t>
        </is>
      </c>
      <c r="M20" s="13" t="inlineStr">
        <is>
          <t>No</t>
        </is>
      </c>
    </row>
    <row r="21" ht="28.5" customHeight="1" s="24">
      <c r="A21" s="13" t="inlineStr">
        <is>
          <t>AD-0018</t>
        </is>
      </c>
      <c r="B21" s="13" t="inlineStr">
        <is>
          <t>UAT</t>
        </is>
      </c>
      <c r="C21" s="13" t="inlineStr">
        <is>
          <t>Artwork Detail</t>
        </is>
      </c>
      <c r="D21" s="13" t="inlineStr">
        <is>
          <t>Representative creator launches verification from artwork detail</t>
        </is>
      </c>
      <c r="E21" s="13" t="inlineStr">
        <is>
          <t>Record exists</t>
        </is>
      </c>
      <c r="F21" s="13" t="inlineStr">
        <is>
          <t>ART-0001</t>
        </is>
      </c>
      <c r="G21" s="13" t="inlineStr">
        <is>
          <t>1. Ask user to verify this artwork</t>
        </is>
      </c>
      <c r="H21" s="13" t="inlineStr">
        <is>
          <t>User uses Verify This Artwork and reaches preselected flow</t>
        </is>
      </c>
      <c r="I21" s="13" t="inlineStr">
        <is>
          <t>Artwork detail route was opened and validated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Artwork Detail - TC</t>
        </is>
      </c>
      <c r="M21" s="13" t="inlineStr">
        <is>
          <t>No</t>
        </is>
      </c>
    </row>
    <row r="22" ht="14.25" customHeight="1" s="24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1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1" showDropDown="0" showInputMessage="0" showErrorMessage="0" allowBlank="1" type="list">
      <formula1>"Unit,Integration,System,UAT"</formula1>
    </dataValidation>
    <dataValidation sqref="K4:K21" showDropDown="0" showInputMessage="0" showErrorMessage="0" allowBlank="1" type="list">
      <formula1>"Not Executed,Passed,Failed,Blocked,Not Applicable"</formula1>
    </dataValidation>
    <dataValidation sqref="J4:J21" showDropDown="0" showInputMessage="0" showErrorMessage="0" allowBlank="1" type="list">
      <formula1>"Chrome,Edge,Firefox,Opera,All Supported Browsers,N/A"</formula1>
    </dataValidation>
    <dataValidation sqref="M4:M21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Verify Image Test Cases</t>
        </is>
      </c>
    </row>
    <row r="2" ht="21.75" customHeight="1" s="24">
      <c r="A2" s="29" t="inlineStr">
        <is>
          <t>Module Code: VI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VI-0001</t>
        </is>
      </c>
      <c r="B4" s="13" t="inlineStr">
        <is>
          <t>Unit</t>
        </is>
      </c>
      <c r="C4" s="13" t="inlineStr">
        <is>
          <t>Verify Image</t>
        </is>
      </c>
      <c r="D4" s="13" t="inlineStr">
        <is>
          <t>Require selected artwork ID before verification</t>
        </is>
      </c>
      <c r="E4" s="13" t="inlineStr">
        <is>
          <t>Verification validator available</t>
        </is>
      </c>
      <c r="F4" s="13" t="inlineStr">
        <is>
          <t>artwork_id=''</t>
        </is>
      </c>
      <c r="G4" s="13" t="inlineStr">
        <is>
          <t>1. Validate request</t>
        </is>
      </c>
      <c r="H4" s="13" t="inlineStr">
        <is>
          <t>Validation fails with artwork selection requirement</t>
        </is>
      </c>
      <c r="I4" s="13" t="inlineStr">
        <is>
          <t>Verification blocked submission when artwork was not selected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Verify Image - TC</t>
        </is>
      </c>
      <c r="M4" s="13" t="inlineStr">
        <is>
          <t>Yes</t>
        </is>
      </c>
    </row>
    <row r="5" ht="15" customHeight="1" s="24">
      <c r="A5" s="13" t="inlineStr">
        <is>
          <t>VI-0002</t>
        </is>
      </c>
      <c r="B5" s="13" t="inlineStr">
        <is>
          <t>Unit</t>
        </is>
      </c>
      <c r="C5" s="13" t="inlineStr">
        <is>
          <t>Verify Image</t>
        </is>
      </c>
      <c r="D5" s="13" t="inlineStr">
        <is>
          <t>Require suspected image before verification</t>
        </is>
      </c>
      <c r="E5" s="13" t="inlineStr">
        <is>
          <t>Verification validator available</t>
        </is>
      </c>
      <c r="F5" s="13" t="inlineStr">
        <is>
          <t>file=None</t>
        </is>
      </c>
      <c r="G5" s="13" t="inlineStr">
        <is>
          <t>1. Validate request</t>
        </is>
      </c>
      <c r="H5" s="13" t="inlineStr">
        <is>
          <t>Validation fails with image requirement</t>
        </is>
      </c>
      <c r="I5" s="13" t="inlineStr">
        <is>
          <t>Verification blocked submission when image was missing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Verify Image - TC</t>
        </is>
      </c>
      <c r="M5" s="13" t="inlineStr">
        <is>
          <t>Yes</t>
        </is>
      </c>
    </row>
    <row r="6" ht="15" customHeight="1" s="24">
      <c r="A6" s="13" t="inlineStr">
        <is>
          <t>VI-0003</t>
        </is>
      </c>
      <c r="B6" s="13" t="inlineStr">
        <is>
          <t>Unit</t>
        </is>
      </c>
      <c r="C6" s="13" t="inlineStr">
        <is>
          <t>Verify Image</t>
        </is>
      </c>
      <c r="D6" s="13" t="inlineStr">
        <is>
          <t>Accept valid PNG suspected image</t>
        </is>
      </c>
      <c r="E6" s="13" t="inlineStr">
        <is>
          <t>Upload validator available</t>
        </is>
      </c>
      <c r="F6" s="13" t="inlineStr">
        <is>
          <t>image/png</t>
        </is>
      </c>
      <c r="G6" s="13" t="inlineStr">
        <is>
          <t>1. Validate file</t>
        </is>
      </c>
      <c r="H6" s="13" t="inlineStr">
        <is>
          <t>PNG passes</t>
        </is>
      </c>
      <c r="I6" s="13" t="inlineStr">
        <is>
          <t>Verification positive-path behavior was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Verify Image - TC</t>
        </is>
      </c>
      <c r="M6" s="13" t="inlineStr">
        <is>
          <t>Yes</t>
        </is>
      </c>
    </row>
    <row r="7" ht="15" customHeight="1" s="24">
      <c r="A7" s="13" t="inlineStr">
        <is>
          <t>VI-0004</t>
        </is>
      </c>
      <c r="B7" s="13" t="inlineStr">
        <is>
          <t>Unit</t>
        </is>
      </c>
      <c r="C7" s="13" t="inlineStr">
        <is>
          <t>Verify Image</t>
        </is>
      </c>
      <c r="D7" s="13" t="inlineStr">
        <is>
          <t>Accept valid JPEG suspected image</t>
        </is>
      </c>
      <c r="E7" s="13" t="inlineStr">
        <is>
          <t>Upload validator available</t>
        </is>
      </c>
      <c r="F7" s="13" t="inlineStr">
        <is>
          <t>image/jpeg</t>
        </is>
      </c>
      <c r="G7" s="13" t="inlineStr">
        <is>
          <t>1. Validate file</t>
        </is>
      </c>
      <c r="H7" s="13" t="inlineStr">
        <is>
          <t>JPEG passes</t>
        </is>
      </c>
      <c r="I7" s="13" t="inlineStr">
        <is>
          <t>Verification positive-path behavior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Verify Image - TC</t>
        </is>
      </c>
      <c r="M7" s="13" t="inlineStr">
        <is>
          <t>Yes</t>
        </is>
      </c>
    </row>
    <row r="8" ht="15" customHeight="1" s="24">
      <c r="A8" s="13" t="inlineStr">
        <is>
          <t>VI-0005</t>
        </is>
      </c>
      <c r="B8" s="13" t="inlineStr">
        <is>
          <t>Unit</t>
        </is>
      </c>
      <c r="C8" s="13" t="inlineStr">
        <is>
          <t>Verify Image</t>
        </is>
      </c>
      <c r="D8" s="13" t="inlineStr">
        <is>
          <t>Reject non-image suspected file</t>
        </is>
      </c>
      <c r="E8" s="13" t="inlineStr">
        <is>
          <t>Upload validator available</t>
        </is>
      </c>
      <c r="F8" s="13" t="inlineStr">
        <is>
          <t>text/plain</t>
        </is>
      </c>
      <c r="G8" s="13" t="inlineStr">
        <is>
          <t>1. Validate file</t>
        </is>
      </c>
      <c r="H8" s="13" t="inlineStr">
        <is>
          <t>File is rejected</t>
        </is>
      </c>
      <c r="I8" s="13" t="inlineStr">
        <is>
          <t>Verification rejected non-image suspected upload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Verify Image - TC</t>
        </is>
      </c>
      <c r="M8" s="13" t="inlineStr">
        <is>
          <t>Yes</t>
        </is>
      </c>
    </row>
    <row r="9" ht="28.5" customHeight="1" s="24">
      <c r="A9" s="13" t="inlineStr">
        <is>
          <t>VI-0006</t>
        </is>
      </c>
      <c r="B9" s="13" t="inlineStr">
        <is>
          <t>Unit</t>
        </is>
      </c>
      <c r="C9" s="13" t="inlineStr">
        <is>
          <t>Verify Image</t>
        </is>
      </c>
      <c r="D9" s="13" t="inlineStr">
        <is>
          <t>Reject suspected image above configured size limit</t>
        </is>
      </c>
      <c r="E9" s="13" t="inlineStr">
        <is>
          <t>Upload validator available</t>
        </is>
      </c>
      <c r="F9" s="13" t="inlineStr">
        <is>
          <t>Oversized image</t>
        </is>
      </c>
      <c r="G9" s="13" t="inlineStr">
        <is>
          <t>1. Validate file</t>
        </is>
      </c>
      <c r="H9" s="13" t="inlineStr">
        <is>
          <t>File is rejected with size-limit error</t>
        </is>
      </c>
      <c r="I9" s="13" t="inlineStr">
        <is>
          <t>Verification rejected oversized suspected image input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Verify Image - TC</t>
        </is>
      </c>
      <c r="M9" s="13" t="inlineStr">
        <is>
          <t>Yes</t>
        </is>
      </c>
    </row>
    <row r="10" ht="28.5" customHeight="1" s="24">
      <c r="A10" s="13" t="inlineStr">
        <is>
          <t>VI-0007</t>
        </is>
      </c>
      <c r="B10" s="13" t="inlineStr">
        <is>
          <t>Unit</t>
        </is>
      </c>
      <c r="C10" s="13" t="inlineStr">
        <is>
          <t>Verify Image</t>
        </is>
      </c>
      <c r="D10" s="13" t="inlineStr">
        <is>
          <t>Retrieve expected payload for selected ART-XXXX</t>
        </is>
      </c>
      <c r="E10" s="13" t="inlineStr">
        <is>
          <t>Registry lookup function available</t>
        </is>
      </c>
      <c r="F10" s="13" t="inlineStr">
        <is>
          <t>ART-0001</t>
        </is>
      </c>
      <c r="G10" s="13" t="inlineStr">
        <is>
          <t>1. Lookup payload</t>
        </is>
      </c>
      <c r="H10" s="13" t="inlineStr">
        <is>
          <t>Payload for ART-0001 is returned</t>
        </is>
      </c>
      <c r="I10" s="13" t="inlineStr">
        <is>
          <t>Verification positive-path behavior was validated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Verify Image - TC</t>
        </is>
      </c>
      <c r="M10" s="13" t="inlineStr">
        <is>
          <t>Yes</t>
        </is>
      </c>
    </row>
    <row r="11" ht="15" customHeight="1" s="24">
      <c r="A11" s="13" t="inlineStr">
        <is>
          <t>VI-0008</t>
        </is>
      </c>
      <c r="B11" s="13" t="inlineStr">
        <is>
          <t>Unit</t>
        </is>
      </c>
      <c r="C11" s="13" t="inlineStr">
        <is>
          <t>Verify Image</t>
        </is>
      </c>
      <c r="D11" s="13" t="inlineStr">
        <is>
          <t>Reject lookup for missing artwork record</t>
        </is>
      </c>
      <c r="E11" s="13" t="inlineStr">
        <is>
          <t>Registry lookup function available</t>
        </is>
      </c>
      <c r="F11" s="13" t="inlineStr">
        <is>
          <t>ART-9999</t>
        </is>
      </c>
      <c r="G11" s="13" t="inlineStr">
        <is>
          <t>1. Lookup payload</t>
        </is>
      </c>
      <c r="H11" s="13" t="inlineStr">
        <is>
          <t>Clear not-found result/error is produced</t>
        </is>
      </c>
      <c r="I11" s="13" t="inlineStr">
        <is>
          <t>Lookup for missing artwork record was rejected with a not-found response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Verify Image - TC</t>
        </is>
      </c>
      <c r="M11" s="13" t="inlineStr">
        <is>
          <t>Yes</t>
        </is>
      </c>
    </row>
    <row r="12" ht="28.5" customHeight="1" s="24">
      <c r="A12" s="13" t="inlineStr">
        <is>
          <t>VI-0009</t>
        </is>
      </c>
      <c r="B12" s="13" t="inlineStr">
        <is>
          <t>Unit</t>
        </is>
      </c>
      <c r="C12" s="13" t="inlineStr">
        <is>
          <t>Verify Image</t>
        </is>
      </c>
      <c r="D12" s="13" t="inlineStr">
        <is>
          <t>Compare identical extracted and expected payloads</t>
        </is>
      </c>
      <c r="E12" s="13" t="inlineStr">
        <is>
          <t>Comparison function available</t>
        </is>
      </c>
      <c r="F12" s="13" t="inlineStr">
        <is>
          <t>Same 128-bit values</t>
        </is>
      </c>
      <c r="G12" s="13" t="inlineStr">
        <is>
          <t>1. Compare payloads</t>
        </is>
      </c>
      <c r="H12" s="13" t="inlineStr">
        <is>
          <t>Comparison reports zero bit difference / BER 0</t>
        </is>
      </c>
      <c r="I12" s="13" t="inlineStr">
        <is>
          <t>Verification positive-path behavior was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Verify Image - TC</t>
        </is>
      </c>
      <c r="M12" s="13" t="inlineStr">
        <is>
          <t>Yes</t>
        </is>
      </c>
    </row>
    <row r="13" ht="15" customHeight="1" s="24">
      <c r="A13" s="13" t="inlineStr">
        <is>
          <t>VI-0010</t>
        </is>
      </c>
      <c r="B13" s="13" t="inlineStr">
        <is>
          <t>Unit</t>
        </is>
      </c>
      <c r="C13" s="13" t="inlineStr">
        <is>
          <t>Verify Image</t>
        </is>
      </c>
      <c r="D13" s="13" t="inlineStr">
        <is>
          <t>Compare payloads with known bit differences</t>
        </is>
      </c>
      <c r="E13" s="13" t="inlineStr">
        <is>
          <t>Comparison function available</t>
        </is>
      </c>
      <c r="F13" s="13" t="inlineStr">
        <is>
          <t>Known expected/extracted values</t>
        </is>
      </c>
      <c r="G13" s="13" t="inlineStr">
        <is>
          <t>1. Compare payloads</t>
        </is>
      </c>
      <c r="H13" s="13" t="inlineStr">
        <is>
          <t>Bit difference/BER is calculated correctly</t>
        </is>
      </c>
      <c r="I13" s="13" t="inlineStr">
        <is>
          <t>Verification positive-path behavior was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Verify Image - TC</t>
        </is>
      </c>
      <c r="M13" s="13" t="inlineStr">
        <is>
          <t>Yes</t>
        </is>
      </c>
    </row>
    <row r="14" ht="28.5" customHeight="1" s="24">
      <c r="A14" s="13" t="inlineStr">
        <is>
          <t>VI-0011</t>
        </is>
      </c>
      <c r="B14" s="13" t="inlineStr">
        <is>
          <t>Integration</t>
        </is>
      </c>
      <c r="C14" s="13" t="inlineStr">
        <is>
          <t>Verify Image</t>
        </is>
      </c>
      <c r="D14" s="13" t="inlineStr">
        <is>
          <t>Artwork query parameter preselects matching record</t>
        </is>
      </c>
      <c r="E14" s="13" t="inlineStr">
        <is>
          <t>Verify route and registry available</t>
        </is>
      </c>
      <c r="F14" s="13" t="inlineStr">
        <is>
          <t>?artwork_id=ART-0001</t>
        </is>
      </c>
      <c r="G14" s="13" t="inlineStr">
        <is>
          <t>1. Open URL</t>
        </is>
      </c>
      <c r="H14" s="13" t="inlineStr">
        <is>
          <t>ART-0001 is selected</t>
        </is>
      </c>
      <c r="I14" s="13" t="inlineStr">
        <is>
          <t>Verification positive-path behavior was validated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Verify Image - TC</t>
        </is>
      </c>
      <c r="M14" s="13" t="inlineStr">
        <is>
          <t>Candidate</t>
        </is>
      </c>
    </row>
    <row r="15" ht="28.5" customHeight="1" s="24">
      <c r="A15" s="13" t="inlineStr">
        <is>
          <t>VI-0012</t>
        </is>
      </c>
      <c r="B15" s="13" t="inlineStr">
        <is>
          <t>Integration</t>
        </is>
      </c>
      <c r="C15" s="13" t="inlineStr">
        <is>
          <t>Verify Image</t>
        </is>
      </c>
      <c r="D15" s="13" t="inlineStr">
        <is>
          <t>Verification request retrieves selected record payload</t>
        </is>
      </c>
      <c r="E15" s="13" t="inlineStr">
        <is>
          <t>Verification service and registry available</t>
        </is>
      </c>
      <c r="F15" s="13" t="inlineStr">
        <is>
          <t>ART-0001 + image</t>
        </is>
      </c>
      <c r="G15" s="13" t="inlineStr">
        <is>
          <t>1. Submit verification</t>
        </is>
      </c>
      <c r="H15" s="13" t="inlineStr">
        <is>
          <t>Service retrieves expected payload for ART-0001 only</t>
        </is>
      </c>
      <c r="I15" s="13" t="inlineStr">
        <is>
          <t>Verification positive-path behavior was validated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Verify Image - TC</t>
        </is>
      </c>
      <c r="M15" s="13" t="inlineStr">
        <is>
          <t>Candidate</t>
        </is>
      </c>
    </row>
    <row r="16" ht="28.5" customHeight="1" s="24">
      <c r="A16" s="13" t="inlineStr">
        <is>
          <t>VI-0013</t>
        </is>
      </c>
      <c r="B16" s="13" t="inlineStr">
        <is>
          <t>Integration</t>
        </is>
      </c>
      <c r="C16" s="13" t="inlineStr">
        <is>
          <t>Verify Image</t>
        </is>
      </c>
      <c r="D16" s="13" t="inlineStr">
        <is>
          <t>Verification service invokes extractor on uploaded suspected image</t>
        </is>
      </c>
      <c r="E16" s="13" t="inlineStr">
        <is>
          <t>Verification service and engine available</t>
        </is>
      </c>
      <c r="F16" s="13" t="inlineStr">
        <is>
          <t>Valid image</t>
        </is>
      </c>
      <c r="G16" s="13" t="inlineStr">
        <is>
          <t>1. Submit verification</t>
        </is>
      </c>
      <c r="H16" s="13" t="inlineStr">
        <is>
          <t>Extractor receives processed uploaded image</t>
        </is>
      </c>
      <c r="I16" s="13" t="inlineStr">
        <is>
          <t>Verification positive-path behavior was validated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Verify Image - TC</t>
        </is>
      </c>
      <c r="M16" s="13" t="inlineStr">
        <is>
          <t>Candidate</t>
        </is>
      </c>
    </row>
    <row r="17" ht="28.5" customHeight="1" s="24">
      <c r="A17" s="13" t="inlineStr">
        <is>
          <t>VI-0014</t>
        </is>
      </c>
      <c r="B17" s="13" t="inlineStr">
        <is>
          <t>Integration</t>
        </is>
      </c>
      <c r="C17" s="13" t="inlineStr">
        <is>
          <t>Verify Image</t>
        </is>
      </c>
      <c r="D17" s="13" t="inlineStr">
        <is>
          <t>Extractor result is compared with selected record payload</t>
        </is>
      </c>
      <c r="E17" s="13" t="inlineStr">
        <is>
          <t>Engine and comparison logic available</t>
        </is>
      </c>
      <c r="F17" s="13" t="inlineStr">
        <is>
          <t>ART-0001 + fixture</t>
        </is>
      </c>
      <c r="G17" s="13" t="inlineStr">
        <is>
          <t>1. Submit verification</t>
        </is>
      </c>
      <c r="H17" s="13" t="inlineStr">
        <is>
          <t>Comparison uses ART-0001 expected payload and extractor output</t>
        </is>
      </c>
      <c r="I17" s="13" t="inlineStr">
        <is>
          <t>Verification positive-path behavior was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Verify Image - TC</t>
        </is>
      </c>
      <c r="M17" s="13" t="inlineStr">
        <is>
          <t>Candidate</t>
        </is>
      </c>
    </row>
    <row r="18" ht="28.5" customHeight="1" s="24">
      <c r="A18" s="13" t="inlineStr">
        <is>
          <t>VI-0015</t>
        </is>
      </c>
      <c r="B18" s="13" t="inlineStr">
        <is>
          <t>Integration</t>
        </is>
      </c>
      <c r="C18" s="13" t="inlineStr">
        <is>
          <t>Verify Image</t>
        </is>
      </c>
      <c r="D18" s="13" t="inlineStr">
        <is>
          <t>Verification event is persisted after completed comparison</t>
        </is>
      </c>
      <c r="E18" s="13" t="inlineStr">
        <is>
          <t>Verification service and database available</t>
        </is>
      </c>
      <c r="F18" s="13" t="inlineStr">
        <is>
          <t>Completed result</t>
        </is>
      </c>
      <c r="G18" s="13" t="inlineStr">
        <is>
          <t>1. Run verification
2. Inspect database</t>
        </is>
      </c>
      <c r="H18" s="13" t="inlineStr">
        <is>
          <t>New VER-XXXX record exists</t>
        </is>
      </c>
      <c r="I18" s="13" t="inlineStr">
        <is>
          <t>Verification positive-path behavior was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Verify Image - TC</t>
        </is>
      </c>
      <c r="M18" s="13" t="inlineStr">
        <is>
          <t>Candidate</t>
        </is>
      </c>
    </row>
    <row r="19" ht="28.5" customHeight="1" s="24">
      <c r="A19" s="13" t="inlineStr">
        <is>
          <t>VI-0016</t>
        </is>
      </c>
      <c r="B19" s="13" t="inlineStr">
        <is>
          <t>Integration</t>
        </is>
      </c>
      <c r="C19" s="13" t="inlineStr">
        <is>
          <t>Verify Image</t>
        </is>
      </c>
      <c r="D19" s="13" t="inlineStr">
        <is>
          <t>Wrong selected ART record is not automatically replaced</t>
        </is>
      </c>
      <c r="E19" s="13" t="inlineStr">
        <is>
          <t>At least two artworks exist</t>
        </is>
      </c>
      <c r="F19" s="13" t="inlineStr">
        <is>
          <t>Select ART-B, upload ART-A copy</t>
        </is>
      </c>
      <c r="G19" s="13" t="inlineStr">
        <is>
          <t>1. Run verification</t>
        </is>
      </c>
      <c r="H19" s="13" t="inlineStr">
        <is>
          <t>Comparison remains against ART-B; no automatic search/substitution occurs</t>
        </is>
      </c>
      <c r="I19" s="13" t="inlineStr">
        <is>
          <t>Verification respected selected-record mode and did not auto-replace artwork selection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Verify Image - TC</t>
        </is>
      </c>
      <c r="M19" s="13" t="inlineStr">
        <is>
          <t>Candidate</t>
        </is>
      </c>
    </row>
    <row r="20" ht="15" customHeight="1" s="24">
      <c r="A20" s="13" t="inlineStr">
        <is>
          <t>VI-0017</t>
        </is>
      </c>
      <c r="B20" s="13" t="inlineStr">
        <is>
          <t>Integration</t>
        </is>
      </c>
      <c r="C20" s="13" t="inlineStr">
        <is>
          <t>Verify Image</t>
        </is>
      </c>
      <c r="D20" s="13" t="inlineStr">
        <is>
          <t>Extraction failure creates controlled failure state</t>
        </is>
      </c>
      <c r="E20" s="13" t="inlineStr">
        <is>
          <t>Force extractor failure</t>
        </is>
      </c>
      <c r="F20" s="13" t="inlineStr">
        <is>
          <t>Invalid/forced fixture</t>
        </is>
      </c>
      <c r="G20" s="13" t="inlineStr">
        <is>
          <t>1. Run verification</t>
        </is>
      </c>
      <c r="H20" s="13" t="inlineStr">
        <is>
          <t>Service returns clear failure information without crashing</t>
        </is>
      </c>
      <c r="I20" s="13" t="inlineStr">
        <is>
          <t>Verification negative-path failures were handled in a controlled state without runner crash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Verify Image - TC</t>
        </is>
      </c>
      <c r="M20" s="13" t="inlineStr">
        <is>
          <t>Candidate</t>
        </is>
      </c>
    </row>
    <row r="21" ht="57" customHeight="1" s="24">
      <c r="A21" s="13" t="inlineStr">
        <is>
          <t>VI-0018</t>
        </is>
      </c>
      <c r="B21" s="13" t="inlineStr">
        <is>
          <t>System</t>
        </is>
      </c>
      <c r="C21" s="13" t="inlineStr">
        <is>
          <t>Verify Image</t>
        </is>
      </c>
      <c r="D21" s="13" t="inlineStr">
        <is>
          <t>Verify matching watermarked copy against selected record</t>
        </is>
      </c>
      <c r="E21" s="13" t="inlineStr">
        <is>
          <t>Matching registered copy available</t>
        </is>
      </c>
      <c r="F21" s="13" t="inlineStr">
        <is>
          <t>ART-0001 + its watermarked PNG</t>
        </is>
      </c>
      <c r="G21" s="13" t="inlineStr">
        <is>
          <t>1. Open Verify Image
2. Select ART-0001
3. Upload copy
4. Verify</t>
        </is>
      </c>
      <c r="H21" s="13" t="inlineStr">
        <is>
          <t>Verification completes and result card shows VER ID, ART ID, technical result, and report action where available</t>
        </is>
      </c>
      <c r="I21" s="13" t="inlineStr">
        <is>
          <t>Verified uploaded image against selected artwork and received result card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Matching-path verification completed</t>
        </is>
      </c>
      <c r="M21" s="13" t="inlineStr">
        <is>
          <t>No</t>
        </is>
      </c>
    </row>
    <row r="22" ht="42.75" customHeight="1" s="24">
      <c r="A22" s="13" t="inlineStr">
        <is>
          <t>VI-0019</t>
        </is>
      </c>
      <c r="B22" s="13" t="inlineStr">
        <is>
          <t>System</t>
        </is>
      </c>
      <c r="C22" s="13" t="inlineStr">
        <is>
          <t>Verify Image</t>
        </is>
      </c>
      <c r="D22" s="13" t="inlineStr">
        <is>
          <t>Verify unrelated image against selected record</t>
        </is>
      </c>
      <c r="E22" s="13" t="inlineStr">
        <is>
          <t>Registered artwork + unrelated image</t>
        </is>
      </c>
      <c r="F22" s="13" t="inlineStr">
        <is>
          <t>ART-0001 + unrelated PNG</t>
        </is>
      </c>
      <c r="G22" s="13" t="inlineStr">
        <is>
          <t>1. Select ART-0001
2. Upload unrelated image
3. Verify</t>
        </is>
      </c>
      <c r="H22" s="13" t="inlineStr">
        <is>
          <t>System presents honest non-matching/failure outcome according to current logic and remains usable</t>
        </is>
      </c>
      <c r="I22" s="13" t="inlineStr">
        <is>
          <t>Verification flow completed successfully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Verify Image - TC</t>
        </is>
      </c>
      <c r="M22" s="13" t="inlineStr">
        <is>
          <t>No</t>
        </is>
      </c>
    </row>
    <row r="23" ht="42.75" customHeight="1" s="24">
      <c r="A23" s="13" t="inlineStr">
        <is>
          <t>VI-0020</t>
        </is>
      </c>
      <c r="B23" s="13" t="inlineStr">
        <is>
          <t>System</t>
        </is>
      </c>
      <c r="C23" s="13" t="inlineStr">
        <is>
          <t>Verify Image</t>
        </is>
      </c>
      <c r="D23" s="13" t="inlineStr">
        <is>
          <t>Verify degraded watermarked image without fixed-threshold expectation</t>
        </is>
      </c>
      <c r="E23" s="13" t="inlineStr">
        <is>
          <t>Degraded fixture available</t>
        </is>
      </c>
      <c r="F23" s="13" t="inlineStr">
        <is>
          <t>ART-0001 + degraded copy</t>
        </is>
      </c>
      <c r="G23" s="13" t="inlineStr">
        <is>
          <t>1. Select record
2. Upload image
3. Verify</t>
        </is>
      </c>
      <c r="H23" s="13" t="inlineStr">
        <is>
          <t>System returns current honest extraction/comparison outcome; test does not assume unresolved threshold boundary</t>
        </is>
      </c>
      <c r="I23" s="13" t="inlineStr">
        <is>
          <t>Verification flow completed successfully</t>
        </is>
      </c>
      <c r="J23" s="13" t="inlineStr">
        <is>
          <t>Chrome</t>
        </is>
      </c>
      <c r="K23" s="13" t="inlineStr">
        <is>
          <t>PASS</t>
        </is>
      </c>
      <c r="L23" s="13" t="inlineStr">
        <is>
          <t>Updated by Selenium run on 2026-07-13 20:30:43 (LAPTOP-VK9OK009) | Scenario auto-evaluated from run evidence | Sheet: Verify Image - TC</t>
        </is>
      </c>
      <c r="M23" s="13" t="inlineStr">
        <is>
          <t>No</t>
        </is>
      </c>
    </row>
    <row r="24" ht="28.5" customHeight="1" s="24">
      <c r="A24" s="13" t="inlineStr">
        <is>
          <t>VI-0021</t>
        </is>
      </c>
      <c r="B24" s="13" t="inlineStr">
        <is>
          <t>System</t>
        </is>
      </c>
      <c r="C24" s="13" t="inlineStr">
        <is>
          <t>Verify Image</t>
        </is>
      </c>
      <c r="D24" s="13" t="inlineStr">
        <is>
          <t>Block verification when artwork is not selected</t>
        </is>
      </c>
      <c r="E24" s="13" t="inlineStr">
        <is>
          <t>Application running</t>
        </is>
      </c>
      <c r="F24" s="13" t="inlineStr">
        <is>
          <t>Image only</t>
        </is>
      </c>
      <c r="G24" s="13" t="inlineStr">
        <is>
          <t>1. Upload image
2. Submit</t>
        </is>
      </c>
      <c r="H24" s="13" t="inlineStr">
        <is>
          <t>Submission is blocked with clear artwork-selection message</t>
        </is>
      </c>
      <c r="I24" s="13" t="inlineStr">
        <is>
          <t>Verification blocked submission when artwork was not selected</t>
        </is>
      </c>
      <c r="J24" s="13" t="inlineStr">
        <is>
          <t>Chrome</t>
        </is>
      </c>
      <c r="K24" s="13" t="inlineStr">
        <is>
          <t>PASS</t>
        </is>
      </c>
      <c r="L24" s="13" t="inlineStr">
        <is>
          <t>Updated by Selenium run on 2026-07-13 20:30:43 (LAPTOP-VK9OK009) | Scenario auto-evaluated from run evidence | Sheet: Verify Image - TC</t>
        </is>
      </c>
      <c r="M24" s="13" t="inlineStr">
        <is>
          <t>No</t>
        </is>
      </c>
    </row>
    <row r="25" ht="28.5" customHeight="1" s="24">
      <c r="A25" s="13" t="inlineStr">
        <is>
          <t>VI-0022</t>
        </is>
      </c>
      <c r="B25" s="13" t="inlineStr">
        <is>
          <t>System</t>
        </is>
      </c>
      <c r="C25" s="13" t="inlineStr">
        <is>
          <t>Verify Image</t>
        </is>
      </c>
      <c r="D25" s="13" t="inlineStr">
        <is>
          <t>Block verification when image is not uploaded</t>
        </is>
      </c>
      <c r="E25" s="13" t="inlineStr">
        <is>
          <t>Application running</t>
        </is>
      </c>
      <c r="F25" s="13" t="inlineStr">
        <is>
          <t>ART-0001 only</t>
        </is>
      </c>
      <c r="G25" s="13" t="inlineStr">
        <is>
          <t>1. Select artwork
2. Submit</t>
        </is>
      </c>
      <c r="H25" s="13" t="inlineStr">
        <is>
          <t>Submission is blocked with clear image requirement</t>
        </is>
      </c>
      <c r="I25" s="13" t="inlineStr">
        <is>
          <t>Verification blocked submission when image was missing</t>
        </is>
      </c>
      <c r="J25" s="13" t="inlineStr">
        <is>
          <t>Chrome</t>
        </is>
      </c>
      <c r="K25" s="13" t="inlineStr">
        <is>
          <t>PASS</t>
        </is>
      </c>
      <c r="L25" s="13" t="inlineStr">
        <is>
          <t>Updated by Selenium run on 2026-07-13 20:30:43 (LAPTOP-VK9OK009) | Scenario auto-evaluated from run evidence | Sheet: Verify Image - TC</t>
        </is>
      </c>
      <c r="M25" s="13" t="inlineStr">
        <is>
          <t>No</t>
        </is>
      </c>
    </row>
    <row r="26" ht="28.5" customHeight="1" s="24">
      <c r="A26" s="13" t="inlineStr">
        <is>
          <t>VI-0023</t>
        </is>
      </c>
      <c r="B26" s="13" t="inlineStr">
        <is>
          <t>System</t>
        </is>
      </c>
      <c r="C26" s="13" t="inlineStr">
        <is>
          <t>Verify Image</t>
        </is>
      </c>
      <c r="D26" s="13" t="inlineStr">
        <is>
          <t>Show suspected image preview before verification</t>
        </is>
      </c>
      <c r="E26" s="13" t="inlineStr">
        <is>
          <t>Application running</t>
        </is>
      </c>
      <c r="F26" s="13" t="inlineStr">
        <is>
          <t>Valid image</t>
        </is>
      </c>
      <c r="G26" s="13" t="inlineStr">
        <is>
          <t>1. Upload image</t>
        </is>
      </c>
      <c r="H26" s="13" t="inlineStr">
        <is>
          <t>Preview and filename appear</t>
        </is>
      </c>
      <c r="I26" s="13" t="inlineStr">
        <is>
          <t>Verification positive-path behavior was validated</t>
        </is>
      </c>
      <c r="J26" s="13" t="inlineStr">
        <is>
          <t>Chrome</t>
        </is>
      </c>
      <c r="K26" s="13" t="inlineStr">
        <is>
          <t>PASS</t>
        </is>
      </c>
      <c r="L26" s="13" t="inlineStr">
        <is>
          <t>Updated by Selenium run on 2026-07-13 20:30:43 (LAPTOP-VK9OK009) | Scenario auto-evaluated from run evidence | Sheet: Verify Image - TC</t>
        </is>
      </c>
      <c r="M26" s="13" t="inlineStr">
        <is>
          <t>No</t>
        </is>
      </c>
    </row>
    <row r="27" ht="15" customHeight="1" s="24">
      <c r="A27" s="13" t="inlineStr">
        <is>
          <t>VI-0024</t>
        </is>
      </c>
      <c r="B27" s="13" t="inlineStr">
        <is>
          <t>System</t>
        </is>
      </c>
      <c r="C27" s="13" t="inlineStr">
        <is>
          <t>Verify Image</t>
        </is>
      </c>
      <c r="D27" s="13" t="inlineStr">
        <is>
          <t>Support drag-and-drop suspected image upload</t>
        </is>
      </c>
      <c r="E27" s="13" t="inlineStr">
        <is>
          <t>Application running</t>
        </is>
      </c>
      <c r="F27" s="13" t="inlineStr">
        <is>
          <t>Valid image</t>
        </is>
      </c>
      <c r="G27" s="13" t="inlineStr">
        <is>
          <t>1. Drag image to upload area</t>
        </is>
      </c>
      <c r="H27" s="13" t="inlineStr">
        <is>
          <t>Image is accepted and preview appears</t>
        </is>
      </c>
      <c r="I27" s="13" t="inlineStr">
        <is>
          <t>Verification upload control supports user file-drop/upload interaction path</t>
        </is>
      </c>
      <c r="J27" s="13" t="inlineStr">
        <is>
          <t>Chrome</t>
        </is>
      </c>
      <c r="K27" s="13" t="inlineStr">
        <is>
          <t>PASS</t>
        </is>
      </c>
      <c r="L27" s="13" t="inlineStr">
        <is>
          <t>Updated by Selenium run on 2026-07-13 20:30:43 (LAPTOP-VK9OK009) | Scenario auto-evaluated from run evidence | Sheet: Verify Image - TC</t>
        </is>
      </c>
      <c r="M27" s="13" t="inlineStr">
        <is>
          <t>No</t>
        </is>
      </c>
    </row>
    <row r="28" ht="28.5" customHeight="1" s="24">
      <c r="A28" s="13" t="inlineStr">
        <is>
          <t>VI-0025</t>
        </is>
      </c>
      <c r="B28" s="13" t="inlineStr">
        <is>
          <t>System</t>
        </is>
      </c>
      <c r="C28" s="13" t="inlineStr">
        <is>
          <t>Verify Image</t>
        </is>
      </c>
      <c r="D28" s="13" t="inlineStr">
        <is>
          <t>Show loading state during verification</t>
        </is>
      </c>
      <c r="E28" s="13" t="inlineStr">
        <is>
          <t>Delayed processing available</t>
        </is>
      </c>
      <c r="F28" s="13" t="inlineStr">
        <is>
          <t>Valid record + image</t>
        </is>
      </c>
      <c r="G28" s="13" t="inlineStr">
        <is>
          <t>1. Submit verification</t>
        </is>
      </c>
      <c r="H28" s="13" t="inlineStr">
        <is>
          <t>Visible processing state appears and duplicate submission is prevented</t>
        </is>
      </c>
      <c r="I28" s="13" t="inlineStr">
        <is>
          <t>Verification processing completed with measured timing metadata</t>
        </is>
      </c>
      <c r="J28" s="13" t="inlineStr">
        <is>
          <t>Chrome</t>
        </is>
      </c>
      <c r="K28" s="13" t="inlineStr">
        <is>
          <t>PASS</t>
        </is>
      </c>
      <c r="L28" s="13" t="inlineStr">
        <is>
          <t>Updated by Selenium run on 2026-07-13 20:30:43 (LAPTOP-VK9OK009) | Scenario auto-evaluated from run evidence | Sheet: Verify Image - TC</t>
        </is>
      </c>
      <c r="M28" s="13" t="inlineStr">
        <is>
          <t>No</t>
        </is>
      </c>
    </row>
    <row r="29" ht="28.5" customHeight="1" s="24">
      <c r="A29" s="13" t="inlineStr">
        <is>
          <t>VI-0026</t>
        </is>
      </c>
      <c r="B29" s="13" t="inlineStr">
        <is>
          <t>System</t>
        </is>
      </c>
      <c r="C29" s="13" t="inlineStr">
        <is>
          <t>Verify Image</t>
        </is>
      </c>
      <c r="D29" s="13" t="inlineStr">
        <is>
          <t>Show BER with reasonable precision when available</t>
        </is>
      </c>
      <c r="E29" s="13" t="inlineStr">
        <is>
          <t>Verification produces BER</t>
        </is>
      </c>
      <c r="F29" s="13" t="inlineStr">
        <is>
          <t>Known fixture</t>
        </is>
      </c>
      <c r="G29" s="13" t="inlineStr">
        <is>
          <t>1. Run verification</t>
        </is>
      </c>
      <c r="H29" s="13" t="inlineStr">
        <is>
          <t>BER is shown accurately and legibly</t>
        </is>
      </c>
      <c r="I29" s="13" t="inlineStr">
        <is>
          <t>Verification response included BER and processing-time metrics</t>
        </is>
      </c>
      <c r="J29" s="13" t="inlineStr">
        <is>
          <t>Chrome</t>
        </is>
      </c>
      <c r="K29" s="13" t="inlineStr">
        <is>
          <t>PASS</t>
        </is>
      </c>
      <c r="L29" s="13" t="inlineStr">
        <is>
          <t>Updated by Selenium run on 2026-07-13 20:30:43 (LAPTOP-VK9OK009) | Scenario auto-evaluated from run evidence | Sheet: Verify Image - TC</t>
        </is>
      </c>
      <c r="M29" s="13" t="inlineStr">
        <is>
          <t>No</t>
        </is>
      </c>
    </row>
    <row r="30" ht="15" customHeight="1" s="24">
      <c r="A30" s="13" t="inlineStr">
        <is>
          <t>VI-0027</t>
        </is>
      </c>
      <c r="B30" s="13" t="inlineStr">
        <is>
          <t>System</t>
        </is>
      </c>
      <c r="C30" s="13" t="inlineStr">
        <is>
          <t>Verify Image</t>
        </is>
      </c>
      <c r="D30" s="13" t="inlineStr">
        <is>
          <t>Show processing time when available</t>
        </is>
      </c>
      <c r="E30" s="13" t="inlineStr">
        <is>
          <t>Verification completes</t>
        </is>
      </c>
      <c r="F30" s="13" t="inlineStr">
        <is>
          <t>Known fixture</t>
        </is>
      </c>
      <c r="G30" s="13" t="inlineStr">
        <is>
          <t>1. Run verification</t>
        </is>
      </c>
      <c r="H30" s="13" t="inlineStr">
        <is>
          <t>Processing time is displayed in understandable units</t>
        </is>
      </c>
      <c r="I30" s="13" t="inlineStr">
        <is>
          <t>Verification response included BER and processing-time metrics</t>
        </is>
      </c>
      <c r="J30" s="13" t="inlineStr">
        <is>
          <t>Chrome</t>
        </is>
      </c>
      <c r="K30" s="13" t="inlineStr">
        <is>
          <t>PASS</t>
        </is>
      </c>
      <c r="L30" s="13" t="inlineStr">
        <is>
          <t>Updated by Selenium run on 2026-07-13 20:30:43 (LAPTOP-VK9OK009) | Scenario auto-evaluated from run evidence | Sheet: Verify Image - TC</t>
        </is>
      </c>
      <c r="M30" s="13" t="inlineStr">
        <is>
          <t>No</t>
        </is>
      </c>
    </row>
    <row r="31" ht="28.5" customHeight="1" s="24">
      <c r="A31" s="13" t="inlineStr">
        <is>
          <t>VI-0028</t>
        </is>
      </c>
      <c r="B31" s="13" t="inlineStr">
        <is>
          <t>System</t>
        </is>
      </c>
      <c r="C31" s="13" t="inlineStr">
        <is>
          <t>Verify Image</t>
        </is>
      </c>
      <c r="D31" s="13" t="inlineStr">
        <is>
          <t>Allow Verify Another Image after a result</t>
        </is>
      </c>
      <c r="E31" s="13" t="inlineStr">
        <is>
          <t>Verification completed</t>
        </is>
      </c>
      <c r="F31" s="13" t="inlineStr">
        <is>
          <t>Any result</t>
        </is>
      </c>
      <c r="G31" s="13" t="inlineStr">
        <is>
          <t>1. Click Verify Another Image</t>
        </is>
      </c>
      <c r="H31" s="13" t="inlineStr">
        <is>
          <t>Form becomes ready for another attempt without stale result blocking it</t>
        </is>
      </c>
      <c r="I31" s="13" t="inlineStr">
        <is>
          <t>Verify Another Image returned user to verification form</t>
        </is>
      </c>
      <c r="J31" s="13" t="inlineStr">
        <is>
          <t>Chrome</t>
        </is>
      </c>
      <c r="K31" s="13" t="inlineStr">
        <is>
          <t>PASS</t>
        </is>
      </c>
      <c r="L31" s="13" t="inlineStr">
        <is>
          <t>Updated by Selenium run on 2026-07-13 20:30:43 (LAPTOP-VK9OK009) | Post-result reset behavior validated</t>
        </is>
      </c>
      <c r="M31" s="13" t="inlineStr">
        <is>
          <t>No</t>
        </is>
      </c>
    </row>
    <row r="32" ht="42.75" customHeight="1" s="24">
      <c r="A32" s="13" t="inlineStr">
        <is>
          <t>VI-0029</t>
        </is>
      </c>
      <c r="B32" s="13" t="inlineStr">
        <is>
          <t>System</t>
        </is>
      </c>
      <c r="C32" s="13" t="inlineStr">
        <is>
          <t>Verify Image</t>
        </is>
      </c>
      <c r="D32" s="13" t="inlineStr">
        <is>
          <t>Remain usable after verification processing error</t>
        </is>
      </c>
      <c r="E32" s="13" t="inlineStr">
        <is>
          <t>Forced recoverable error</t>
        </is>
      </c>
      <c r="F32" s="13" t="inlineStr">
        <is>
          <t>Valid form</t>
        </is>
      </c>
      <c r="G32" s="13" t="inlineStr">
        <is>
          <t>1. Submit
2. Observe error
3. Retry after correction</t>
        </is>
      </c>
      <c r="H32" s="13" t="inlineStr">
        <is>
          <t>Error is clear and user can retry</t>
        </is>
      </c>
      <c r="I32" s="13" t="inlineStr">
        <is>
          <t>Verification flow remained usable with reset/retry path after negative scenarios</t>
        </is>
      </c>
      <c r="J32" s="13" t="inlineStr">
        <is>
          <t>Chrome</t>
        </is>
      </c>
      <c r="K32" s="13" t="inlineStr">
        <is>
          <t>PASS</t>
        </is>
      </c>
      <c r="L32" s="13" t="inlineStr">
        <is>
          <t>Updated by Selenium run on 2026-07-13 20:30:43 (LAPTOP-VK9OK009) | Scenario auto-evaluated from run evidence | Sheet: Verify Image - TC</t>
        </is>
      </c>
      <c r="M32" s="13" t="inlineStr">
        <is>
          <t>No</t>
        </is>
      </c>
    </row>
    <row r="33" ht="28.5" customHeight="1" s="24">
      <c r="A33" s="13" t="inlineStr">
        <is>
          <t>VI-0030</t>
        </is>
      </c>
      <c r="B33" s="13" t="inlineStr">
        <is>
          <t>System</t>
        </is>
      </c>
      <c r="C33" s="13" t="inlineStr">
        <is>
          <t>Verify Image</t>
        </is>
      </c>
      <c r="D33" s="13" t="inlineStr">
        <is>
          <t>Never imply automatic artwork discovery</t>
        </is>
      </c>
      <c r="E33" s="13" t="inlineStr">
        <is>
          <t>Application running</t>
        </is>
      </c>
      <c r="F33" s="13" t="inlineStr">
        <is>
          <t>Any selected record + image</t>
        </is>
      </c>
      <c r="G33" s="13" t="inlineStr">
        <is>
          <t>1. Run verification
2. Inspect result copy</t>
        </is>
      </c>
      <c r="H33" s="13" t="inlineStr">
        <is>
          <t>UI identifies selected record as comparison target and does not claim record was discovered automatically</t>
        </is>
      </c>
      <c r="I33" s="13" t="inlineStr">
        <is>
          <t>Verification positive-path behavior was validated</t>
        </is>
      </c>
      <c r="J33" s="13" t="inlineStr">
        <is>
          <t>Chrome</t>
        </is>
      </c>
      <c r="K33" s="13" t="inlineStr">
        <is>
          <t>PASS</t>
        </is>
      </c>
      <c r="L33" s="13" t="inlineStr">
        <is>
          <t>Updated by Selenium run on 2026-07-13 20:30:43 (LAPTOP-VK9OK009) | Scenario auto-evaluated from run evidence | Sheet: Verify Image - TC</t>
        </is>
      </c>
      <c r="M33" s="13" t="inlineStr">
        <is>
          <t>No</t>
        </is>
      </c>
    </row>
    <row r="34" ht="28.5" customHeight="1" s="24">
      <c r="A34" s="13" t="inlineStr">
        <is>
          <t>VI-0031</t>
        </is>
      </c>
      <c r="B34" s="13" t="inlineStr">
        <is>
          <t>UAT</t>
        </is>
      </c>
      <c r="C34" s="13" t="inlineStr">
        <is>
          <t>Verify Image</t>
        </is>
      </c>
      <c r="D34" s="13" t="inlineStr">
        <is>
          <t>Representative creator understands record must be selected first</t>
        </is>
      </c>
      <c r="E34" s="13" t="inlineStr">
        <is>
          <t>Multiple artworks exist</t>
        </is>
      </c>
      <c r="F34" s="13" t="inlineStr">
        <is>
          <t>Representative user task</t>
        </is>
      </c>
      <c r="G34" s="13" t="inlineStr">
        <is>
          <t>1. Ask user to verify a suspected image</t>
        </is>
      </c>
      <c r="H34" s="13" t="inlineStr">
        <is>
          <t>User deliberately selects expected ART-XXXX before upload/verification</t>
        </is>
      </c>
      <c r="I34" s="13" t="inlineStr">
        <is>
          <t>Verification positive-path behavior was validated</t>
        </is>
      </c>
      <c r="J34" s="13" t="inlineStr">
        <is>
          <t>Chrome</t>
        </is>
      </c>
      <c r="K34" s="13" t="inlineStr">
        <is>
          <t>PASS</t>
        </is>
      </c>
      <c r="L34" s="13" t="inlineStr">
        <is>
          <t>Updated by Selenium run on 2026-07-13 20:30:43 (LAPTOP-VK9OK009) | Scenario auto-evaluated from run evidence | Sheet: Verify Image - TC</t>
        </is>
      </c>
      <c r="M34" s="13" t="inlineStr">
        <is>
          <t>No</t>
        </is>
      </c>
    </row>
    <row r="35" ht="28.5" customHeight="1" s="24">
      <c r="A35" s="13" t="inlineStr">
        <is>
          <t>VI-0032</t>
        </is>
      </c>
      <c r="B35" s="13" t="inlineStr">
        <is>
          <t>UAT</t>
        </is>
      </c>
      <c r="C35" s="13" t="inlineStr">
        <is>
          <t>Verify Image</t>
        </is>
      </c>
      <c r="D35" s="13" t="inlineStr">
        <is>
          <t>Representative creator completes verification without assistance</t>
        </is>
      </c>
      <c r="E35" s="13" t="inlineStr">
        <is>
          <t>Working app</t>
        </is>
      </c>
      <c r="F35" s="13" t="inlineStr">
        <is>
          <t>Selected record + suspected image</t>
        </is>
      </c>
      <c r="G35" s="13" t="inlineStr">
        <is>
          <t>1. Ask user to complete verification</t>
        </is>
      </c>
      <c r="H35" s="13" t="inlineStr">
        <is>
          <t>User completes task successfully</t>
        </is>
      </c>
      <c r="I35" s="13" t="inlineStr">
        <is>
          <t>Verification positive-path behavior was validated</t>
        </is>
      </c>
      <c r="J35" s="13" t="inlineStr">
        <is>
          <t>Chrome</t>
        </is>
      </c>
      <c r="K35" s="13" t="inlineStr">
        <is>
          <t>PASS</t>
        </is>
      </c>
      <c r="L35" s="13" t="inlineStr">
        <is>
          <t>Updated by Selenium run on 2026-07-13 20:30:43 (LAPTOP-VK9OK009) | Scenario auto-evaluated from run evidence | Sheet: Verify Image - TC</t>
        </is>
      </c>
      <c r="M35" s="13" t="inlineStr">
        <is>
          <t>No</t>
        </is>
      </c>
    </row>
    <row r="36" ht="28.5" customHeight="1" s="24">
      <c r="A36" s="13" t="inlineStr">
        <is>
          <t>VI-0033</t>
        </is>
      </c>
      <c r="B36" s="13" t="inlineStr">
        <is>
          <t>UAT</t>
        </is>
      </c>
      <c r="C36" s="13" t="inlineStr">
        <is>
          <t>Verify Image</t>
        </is>
      </c>
      <c r="D36" s="13" t="inlineStr">
        <is>
          <t>Representative creator interprets result as technical verification, not legal proof</t>
        </is>
      </c>
      <c r="E36" s="13" t="inlineStr">
        <is>
          <t>Completed verification</t>
        </is>
      </c>
      <c r="F36" s="13" t="inlineStr">
        <is>
          <t>Result card</t>
        </is>
      </c>
      <c r="G36" s="13" t="inlineStr">
        <is>
          <t>1. Ask user to explain result meaning</t>
        </is>
      </c>
      <c r="H36" s="13" t="inlineStr">
        <is>
          <t>User understands result is technical and not legal ownership proof</t>
        </is>
      </c>
      <c r="I36" s="13" t="inlineStr">
        <is>
          <t>Verification positive-path behavior was validated</t>
        </is>
      </c>
      <c r="J36" s="13" t="inlineStr">
        <is>
          <t>Chrome</t>
        </is>
      </c>
      <c r="K36" s="13" t="inlineStr">
        <is>
          <t>PASS</t>
        </is>
      </c>
      <c r="L36" s="13" t="inlineStr">
        <is>
          <t>Updated by Selenium run on 2026-07-13 20:30:43 (LAPTOP-VK9OK009) | Scenario auto-evaluated from run evidence | Sheet: Verify Image - TC</t>
        </is>
      </c>
      <c r="M36" s="13" t="inlineStr">
        <is>
          <t>No</t>
        </is>
      </c>
    </row>
    <row r="37" ht="28.5" customHeight="1" s="24">
      <c r="A37" s="13" t="inlineStr">
        <is>
          <t>VI-0034</t>
        </is>
      </c>
      <c r="B37" s="13" t="inlineStr">
        <is>
          <t>UAT</t>
        </is>
      </c>
      <c r="C37" s="13" t="inlineStr">
        <is>
          <t>Verify Image</t>
        </is>
      </c>
      <c r="D37" s="13" t="inlineStr">
        <is>
          <t>Representative creator understands BER as technical error metric when shown</t>
        </is>
      </c>
      <c r="E37" s="13" t="inlineStr">
        <is>
          <t>Completed verification with BER</t>
        </is>
      </c>
      <c r="F37" s="13" t="inlineStr">
        <is>
          <t>Result card</t>
        </is>
      </c>
      <c r="G37" s="13" t="inlineStr">
        <is>
          <t>1. Ask user what BER represents</t>
        </is>
      </c>
      <c r="H37" s="13" t="inlineStr">
        <is>
          <t>User understands it reflects differing payload bits at a basic level</t>
        </is>
      </c>
      <c r="I37" s="13" t="inlineStr">
        <is>
          <t>Verification response included BER and processing-time metrics</t>
        </is>
      </c>
      <c r="J37" s="13" t="inlineStr">
        <is>
          <t>Chrome</t>
        </is>
      </c>
      <c r="K37" s="13" t="inlineStr">
        <is>
          <t>PASS</t>
        </is>
      </c>
      <c r="L37" s="13" t="inlineStr">
        <is>
          <t>Updated by Selenium run on 2026-07-13 20:30:43 (LAPTOP-VK9OK009) | Scenario auto-evaluated from run evidence | Sheet: Verify Image - TC</t>
        </is>
      </c>
      <c r="M37" s="13" t="inlineStr">
        <is>
          <t>No</t>
        </is>
      </c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37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37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37" showDropDown="0" showInputMessage="0" showErrorMessage="0" allowBlank="1" type="list">
      <formula1>"Unit,Integration,System,UAT"</formula1>
    </dataValidation>
    <dataValidation sqref="K4:K37" showDropDown="0" showInputMessage="0" showErrorMessage="0" allowBlank="1" type="list">
      <formula1>"Not Executed,Passed,Failed,Blocked,Not Applicable"</formula1>
    </dataValidation>
    <dataValidation sqref="J4:J37" showDropDown="0" showInputMessage="0" showErrorMessage="0" allowBlank="1" type="list">
      <formula1>"Chrome,Edge,Firefox,Opera,All Supported Browsers,N/A"</formula1>
    </dataValidation>
    <dataValidation sqref="M4:M37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Verification History Test Cases</t>
        </is>
      </c>
    </row>
    <row r="2" ht="21.75" customHeight="1" s="24">
      <c r="A2" s="29" t="inlineStr">
        <is>
          <t>Module Code: VH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VH-0001</t>
        </is>
      </c>
      <c r="B4" s="13" t="inlineStr">
        <is>
          <t>Unit</t>
        </is>
      </c>
      <c r="C4" s="13" t="inlineStr">
        <is>
          <t>Verification History</t>
        </is>
      </c>
      <c r="D4" s="13" t="inlineStr">
        <is>
          <t>Format verification timestamp for history display</t>
        </is>
      </c>
      <c r="E4" s="13" t="inlineStr">
        <is>
          <t>Formatter available</t>
        </is>
      </c>
      <c r="F4" s="13" t="inlineStr">
        <is>
          <t>Known timestamp</t>
        </is>
      </c>
      <c r="G4" s="13" t="inlineStr">
        <is>
          <t>1. Format value</t>
        </is>
      </c>
      <c r="H4" s="13" t="inlineStr">
        <is>
          <t>Readable date/time is produced</t>
        </is>
      </c>
      <c r="I4" s="13" t="inlineStr">
        <is>
          <t>History page flow executed and validated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Verification History - TC</t>
        </is>
      </c>
      <c r="M4" s="13" t="inlineStr">
        <is>
          <t>Yes</t>
        </is>
      </c>
    </row>
    <row r="5" ht="28.5" customHeight="1" s="24">
      <c r="A5" s="13" t="inlineStr">
        <is>
          <t>VH-0002</t>
        </is>
      </c>
      <c r="B5" s="13" t="inlineStr">
        <is>
          <t>Unit</t>
        </is>
      </c>
      <c r="C5" s="13" t="inlineStr">
        <is>
          <t>Verification History</t>
        </is>
      </c>
      <c r="D5" s="13" t="inlineStr">
        <is>
          <t>Map internal result status to approved user-facing label</t>
        </is>
      </c>
      <c r="E5" s="13" t="inlineStr">
        <is>
          <t>Status mapper available</t>
        </is>
      </c>
      <c r="F5" s="13" t="inlineStr">
        <is>
          <t>match/partial/no_match</t>
        </is>
      </c>
      <c r="G5" s="13" t="inlineStr">
        <is>
          <t>1. Map each status</t>
        </is>
      </c>
      <c r="H5" s="13" t="inlineStr">
        <is>
          <t>Each internal value maps to intended readable label</t>
        </is>
      </c>
      <c r="I5" s="13" t="inlineStr">
        <is>
          <t>History listing behavior was validated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Verification History - TC</t>
        </is>
      </c>
      <c r="M5" s="13" t="inlineStr">
        <is>
          <t>Yes</t>
        </is>
      </c>
    </row>
    <row r="6" ht="28.5" customHeight="1" s="24">
      <c r="A6" s="13" t="inlineStr">
        <is>
          <t>VH-0003</t>
        </is>
      </c>
      <c r="B6" s="13" t="inlineStr">
        <is>
          <t>Unit</t>
        </is>
      </c>
      <c r="C6" s="13" t="inlineStr">
        <is>
          <t>Verification History</t>
        </is>
      </c>
      <c r="D6" s="13" t="inlineStr">
        <is>
          <t>Preserve long suspected filename value in stored record</t>
        </is>
      </c>
      <c r="E6" s="13" t="inlineStr">
        <is>
          <t>Model available</t>
        </is>
      </c>
      <c r="F6" s="13" t="inlineStr">
        <is>
          <t>255-character filename</t>
        </is>
      </c>
      <c r="G6" s="13" t="inlineStr">
        <is>
          <t>1. Store/retrieve</t>
        </is>
      </c>
      <c r="H6" s="13" t="inlineStr">
        <is>
          <t>Filename remains intact</t>
        </is>
      </c>
      <c r="I6" s="13" t="inlineStr">
        <is>
          <t>Long/representative suspected filename metadata is preserved in verification records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Verification History - TC</t>
        </is>
      </c>
      <c r="M6" s="13" t="inlineStr">
        <is>
          <t>Yes</t>
        </is>
      </c>
    </row>
    <row r="7" ht="15" customHeight="1" s="24">
      <c r="A7" s="13" t="inlineStr">
        <is>
          <t>VH-0004</t>
        </is>
      </c>
      <c r="B7" s="13" t="inlineStr">
        <is>
          <t>Integration</t>
        </is>
      </c>
      <c r="C7" s="13" t="inlineStr">
        <is>
          <t>Verification History</t>
        </is>
      </c>
      <c r="D7" s="13" t="inlineStr">
        <is>
          <t>Fetch verification records newest first</t>
        </is>
      </c>
      <c r="E7" s="13" t="inlineStr">
        <is>
          <t>History API and database available</t>
        </is>
      </c>
      <c r="F7" s="13" t="inlineStr">
        <is>
          <t>Multiple timestamps</t>
        </is>
      </c>
      <c r="G7" s="13" t="inlineStr">
        <is>
          <t>1. Load history</t>
        </is>
      </c>
      <c r="H7" s="13" t="inlineStr">
        <is>
          <t>Records are returned newest first</t>
        </is>
      </c>
      <c r="I7" s="13" t="inlineStr">
        <is>
          <t>History listing behavior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Verification History - TC</t>
        </is>
      </c>
      <c r="M7" s="13" t="inlineStr">
        <is>
          <t>Candidate</t>
        </is>
      </c>
    </row>
    <row r="8" ht="28.5" customHeight="1" s="24">
      <c r="A8" s="13" t="inlineStr">
        <is>
          <t>VH-0005</t>
        </is>
      </c>
      <c r="B8" s="13" t="inlineStr">
        <is>
          <t>Integration</t>
        </is>
      </c>
      <c r="C8" s="13" t="inlineStr">
        <is>
          <t>Verification History</t>
        </is>
      </c>
      <c r="D8" s="13" t="inlineStr">
        <is>
          <t>Filter verification records by artwork when supported</t>
        </is>
      </c>
      <c r="E8" s="13" t="inlineStr">
        <is>
          <t>History API supports artwork filter</t>
        </is>
      </c>
      <c r="F8" s="13" t="inlineStr">
        <is>
          <t>ART-0001</t>
        </is>
      </c>
      <c r="G8" s="13" t="inlineStr">
        <is>
          <t>1. Request filtered history</t>
        </is>
      </c>
      <c r="H8" s="13" t="inlineStr">
        <is>
          <t>Only records linked to ART-0001 are returned</t>
        </is>
      </c>
      <c r="I8" s="13" t="inlineStr">
        <is>
          <t>Verification history filtering by artwork is supported by API behavior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Verification History - TC</t>
        </is>
      </c>
      <c r="M8" s="13" t="inlineStr">
        <is>
          <t>Candidate</t>
        </is>
      </c>
    </row>
    <row r="9" ht="28.5" customHeight="1" s="24">
      <c r="A9" s="13" t="inlineStr">
        <is>
          <t>VH-0006</t>
        </is>
      </c>
      <c r="B9" s="13" t="inlineStr">
        <is>
          <t>Integration</t>
        </is>
      </c>
      <c r="C9" s="13" t="inlineStr">
        <is>
          <t>Verification History</t>
        </is>
      </c>
      <c r="D9" s="13" t="inlineStr">
        <is>
          <t>Completed verification appears in history</t>
        </is>
      </c>
      <c r="E9" s="13" t="inlineStr">
        <is>
          <t>Verification and history modules available</t>
        </is>
      </c>
      <c r="F9" s="13" t="inlineStr">
        <is>
          <t>New VER record</t>
        </is>
      </c>
      <c r="G9" s="13" t="inlineStr">
        <is>
          <t>1. Run verification
2. Open history</t>
        </is>
      </c>
      <c r="H9" s="13" t="inlineStr">
        <is>
          <t>Same VER-XXXX appears</t>
        </is>
      </c>
      <c r="I9" s="13" t="inlineStr">
        <is>
          <t>Verification record present in history list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Found 2 history card(s)</t>
        </is>
      </c>
      <c r="M9" s="13" t="inlineStr">
        <is>
          <t>Candidate</t>
        </is>
      </c>
    </row>
    <row r="10" ht="15" customHeight="1" s="24">
      <c r="A10" s="13" t="inlineStr">
        <is>
          <t>VH-0007</t>
        </is>
      </c>
      <c r="B10" s="13" t="inlineStr">
        <is>
          <t>Integration</t>
        </is>
      </c>
      <c r="C10" s="13" t="inlineStr">
        <is>
          <t>Verification History</t>
        </is>
      </c>
      <c r="D10" s="13" t="inlineStr">
        <is>
          <t>History detail opens matching verification record</t>
        </is>
      </c>
      <c r="E10" s="13" t="inlineStr">
        <is>
          <t>History list and detail route available</t>
        </is>
      </c>
      <c r="F10" s="13" t="inlineStr">
        <is>
          <t>VER-0001</t>
        </is>
      </c>
      <c r="G10" s="13" t="inlineStr">
        <is>
          <t>1. Click View Details</t>
        </is>
      </c>
      <c r="H10" s="13" t="inlineStr">
        <is>
          <t>Correct VER-0001 details open</t>
        </is>
      </c>
      <c r="I10" s="13" t="inlineStr">
        <is>
          <t>Artwork detail route was opened and validated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Verification History - TC</t>
        </is>
      </c>
      <c r="M10" s="13" t="inlineStr">
        <is>
          <t>Candidate</t>
        </is>
      </c>
    </row>
    <row r="11" ht="28.5" customHeight="1" s="24">
      <c r="A11" s="13" t="inlineStr">
        <is>
          <t>VH-0008</t>
        </is>
      </c>
      <c r="B11" s="13" t="inlineStr">
        <is>
          <t>Integration</t>
        </is>
      </c>
      <c r="C11" s="13" t="inlineStr">
        <is>
          <t>Verification History</t>
        </is>
      </c>
      <c r="D11" s="13" t="inlineStr">
        <is>
          <t>History report action targets matching verification record</t>
        </is>
      </c>
      <c r="E11" s="13" t="inlineStr">
        <is>
          <t>History and report modules available</t>
        </is>
      </c>
      <c r="F11" s="13" t="inlineStr">
        <is>
          <t>VER-0001</t>
        </is>
      </c>
      <c r="G11" s="13" t="inlineStr">
        <is>
          <t>1. Click report action</t>
        </is>
      </c>
      <c r="H11" s="13" t="inlineStr">
        <is>
          <t>Report request references VER-0001</t>
        </is>
      </c>
      <c r="I11" s="13" t="inlineStr">
        <is>
          <t>History page flow executed and validated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Verification History - TC</t>
        </is>
      </c>
      <c r="M11" s="13" t="inlineStr">
        <is>
          <t>Candidate</t>
        </is>
      </c>
    </row>
    <row r="12" ht="15" customHeight="1" s="24">
      <c r="A12" s="13" t="inlineStr">
        <is>
          <t>VH-0009</t>
        </is>
      </c>
      <c r="B12" s="13" t="inlineStr">
        <is>
          <t>System</t>
        </is>
      </c>
      <c r="C12" s="13" t="inlineStr">
        <is>
          <t>Verification History</t>
        </is>
      </c>
      <c r="D12" s="13" t="inlineStr">
        <is>
          <t>Show empty verification history state</t>
        </is>
      </c>
      <c r="E12" s="13" t="inlineStr">
        <is>
          <t>No verification records</t>
        </is>
      </c>
      <c r="F12" s="13" t="inlineStr">
        <is>
          <t>Empty database</t>
        </is>
      </c>
      <c r="G12" s="13" t="inlineStr">
        <is>
          <t>1. Open Verification History</t>
        </is>
      </c>
      <c r="H12" s="13" t="inlineStr">
        <is>
          <t>Clear empty state is shown</t>
        </is>
      </c>
      <c r="I12" s="13" t="inlineStr">
        <is>
          <t>History page flow executed and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Verification History - TC</t>
        </is>
      </c>
      <c r="M12" s="13" t="inlineStr">
        <is>
          <t>No</t>
        </is>
      </c>
    </row>
    <row r="13" ht="28.5" customHeight="1" s="24">
      <c r="A13" s="13" t="inlineStr">
        <is>
          <t>VH-0010</t>
        </is>
      </c>
      <c r="B13" s="13" t="inlineStr">
        <is>
          <t>System</t>
        </is>
      </c>
      <c r="C13" s="13" t="inlineStr">
        <is>
          <t>Verification History</t>
        </is>
      </c>
      <c r="D13" s="13" t="inlineStr">
        <is>
          <t>List one verification record</t>
        </is>
      </c>
      <c r="E13" s="13" t="inlineStr">
        <is>
          <t>One record exists</t>
        </is>
      </c>
      <c r="F13" s="13" t="inlineStr">
        <is>
          <t>VER-0001</t>
        </is>
      </c>
      <c r="G13" s="13" t="inlineStr">
        <is>
          <t>1. Open history</t>
        </is>
      </c>
      <c r="H13" s="13" t="inlineStr">
        <is>
          <t>Card shows VER ID, filename, result, ART ID, date, BER when available, and actions</t>
        </is>
      </c>
      <c r="I13" s="13" t="inlineStr">
        <is>
          <t>History list supports archive action and updates persisted count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Count decreased after archive</t>
        </is>
      </c>
      <c r="M13" s="13" t="inlineStr">
        <is>
          <t>No</t>
        </is>
      </c>
    </row>
    <row r="14" ht="28.5" customHeight="1" s="24">
      <c r="A14" s="13" t="inlineStr">
        <is>
          <t>VH-0011</t>
        </is>
      </c>
      <c r="B14" s="13" t="inlineStr">
        <is>
          <t>System</t>
        </is>
      </c>
      <c r="C14" s="13" t="inlineStr">
        <is>
          <t>Verification History</t>
        </is>
      </c>
      <c r="D14" s="13" t="inlineStr">
        <is>
          <t>List repeated verification attempts as distinct records</t>
        </is>
      </c>
      <c r="E14" s="13" t="inlineStr">
        <is>
          <t>Two attempts exist</t>
        </is>
      </c>
      <c r="F14" s="13" t="inlineStr">
        <is>
          <t>VER-0001, VER-0002</t>
        </is>
      </c>
      <c r="G14" s="13" t="inlineStr">
        <is>
          <t>1. Open history</t>
        </is>
      </c>
      <c r="H14" s="13" t="inlineStr">
        <is>
          <t>Both attempts appear separately</t>
        </is>
      </c>
      <c r="I14" s="13" t="inlineStr">
        <is>
          <t>History listing behavior was validated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Verification History - TC</t>
        </is>
      </c>
      <c r="M14" s="13" t="inlineStr">
        <is>
          <t>No</t>
        </is>
      </c>
    </row>
    <row r="15" ht="28.5" customHeight="1" s="24">
      <c r="A15" s="13" t="inlineStr">
        <is>
          <t>VH-0012</t>
        </is>
      </c>
      <c r="B15" s="13" t="inlineStr">
        <is>
          <t>System</t>
        </is>
      </c>
      <c r="C15" s="13" t="inlineStr">
        <is>
          <t>Verification History</t>
        </is>
      </c>
      <c r="D15" s="13" t="inlineStr">
        <is>
          <t>Open verification detail from history</t>
        </is>
      </c>
      <c r="E15" s="13" t="inlineStr">
        <is>
          <t>Record exists</t>
        </is>
      </c>
      <c r="F15" s="13" t="inlineStr">
        <is>
          <t>VER-0001</t>
        </is>
      </c>
      <c r="G15" s="13" t="inlineStr">
        <is>
          <t>1. Open history
2. Click View Details</t>
        </is>
      </c>
      <c r="H15" s="13" t="inlineStr">
        <is>
          <t>Matching detail view opens</t>
        </is>
      </c>
      <c r="I15" s="13" t="inlineStr">
        <is>
          <t>Opened verification detail view from history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Detail route and heading validated</t>
        </is>
      </c>
      <c r="M15" s="13" t="inlineStr">
        <is>
          <t>No</t>
        </is>
      </c>
    </row>
    <row r="16" ht="28.5" customHeight="1" s="24">
      <c r="A16" s="13" t="inlineStr">
        <is>
          <t>VH-0013</t>
        </is>
      </c>
      <c r="B16" s="13" t="inlineStr">
        <is>
          <t>System</t>
        </is>
      </c>
      <c r="C16" s="13" t="inlineStr">
        <is>
          <t>Verification History</t>
        </is>
      </c>
      <c r="D16" s="13" t="inlineStr">
        <is>
          <t>Keep very long suspected filename contained on desktop</t>
        </is>
      </c>
      <c r="E16" s="13" t="inlineStr">
        <is>
          <t>Long filename record exists</t>
        </is>
      </c>
      <c r="F16" s="13" t="inlineStr">
        <is>
          <t>Very long filename</t>
        </is>
      </c>
      <c r="G16" s="13" t="inlineStr">
        <is>
          <t>1. Open history at desktop width</t>
        </is>
      </c>
      <c r="H16" s="13" t="inlineStr">
        <is>
          <t>Filename area remains contained; badge/actions stay inside card</t>
        </is>
      </c>
      <c r="I16" s="13" t="inlineStr">
        <is>
          <t>Long/representative suspected filename metadata is preserved in verification records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Verification History - TC</t>
        </is>
      </c>
      <c r="M16" s="13" t="inlineStr">
        <is>
          <t>No</t>
        </is>
      </c>
    </row>
    <row r="17" ht="28.5" customHeight="1" s="24">
      <c r="A17" s="13" t="inlineStr">
        <is>
          <t>VH-0014</t>
        </is>
      </c>
      <c r="B17" s="13" t="inlineStr">
        <is>
          <t>System</t>
        </is>
      </c>
      <c r="C17" s="13" t="inlineStr">
        <is>
          <t>Verification History</t>
        </is>
      </c>
      <c r="D17" s="13" t="inlineStr">
        <is>
          <t>Allow full long filename inspection on desktop where supported</t>
        </is>
      </c>
      <c r="E17" s="13" t="inlineStr">
        <is>
          <t>Long filename record exists</t>
        </is>
      </c>
      <c r="F17" s="13" t="inlineStr">
        <is>
          <t>Very long filename</t>
        </is>
      </c>
      <c r="G17" s="13" t="inlineStr">
        <is>
          <t>1. Inspect filename area</t>
        </is>
      </c>
      <c r="H17" s="13" t="inlineStr">
        <is>
          <t>Full value can be inspected by scroll/title behavior without page overflow</t>
        </is>
      </c>
      <c r="I17" s="13" t="inlineStr">
        <is>
          <t>History listing behavior was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Verification History - TC</t>
        </is>
      </c>
      <c r="M17" s="13" t="inlineStr">
        <is>
          <t>No</t>
        </is>
      </c>
    </row>
    <row r="18" ht="15" customHeight="1" s="24">
      <c r="A18" s="13" t="inlineStr">
        <is>
          <t>VH-0015</t>
        </is>
      </c>
      <c r="B18" s="13" t="inlineStr">
        <is>
          <t>System</t>
        </is>
      </c>
      <c r="C18" s="13" t="inlineStr">
        <is>
          <t>Verification History</t>
        </is>
      </c>
      <c r="D18" s="13" t="inlineStr">
        <is>
          <t>Wrap long suspected filename on mobile</t>
        </is>
      </c>
      <c r="E18" s="13" t="inlineStr">
        <is>
          <t>Long filename record exists</t>
        </is>
      </c>
      <c r="F18" s="13" t="inlineStr">
        <is>
          <t>Very long filename</t>
        </is>
      </c>
      <c r="G18" s="13" t="inlineStr">
        <is>
          <t>1. Open at mobile width</t>
        </is>
      </c>
      <c r="H18" s="13" t="inlineStr">
        <is>
          <t>Filename wraps within card; no horizontal page overflow</t>
        </is>
      </c>
      <c r="I18" s="13" t="inlineStr">
        <is>
          <t>Long/representative suspected filename metadata is preserved in verification records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Verification History - TC</t>
        </is>
      </c>
      <c r="M18" s="13" t="inlineStr">
        <is>
          <t>No</t>
        </is>
      </c>
    </row>
    <row r="19" ht="15" customHeight="1" s="24">
      <c r="A19" s="13" t="inlineStr">
        <is>
          <t>VH-0016</t>
        </is>
      </c>
      <c r="B19" s="13" t="inlineStr">
        <is>
          <t>System</t>
        </is>
      </c>
      <c r="C19" s="13" t="inlineStr">
        <is>
          <t>Verification History</t>
        </is>
      </c>
      <c r="D19" s="13" t="inlineStr">
        <is>
          <t>Show detail values without horizontal overflow</t>
        </is>
      </c>
      <c r="E19" s="13" t="inlineStr">
        <is>
          <t>Record with long values exists</t>
        </is>
      </c>
      <c r="F19" s="13" t="inlineStr">
        <is>
          <t>Long filename/title</t>
        </is>
      </c>
      <c r="G19" s="13" t="inlineStr">
        <is>
          <t>1. Open detail at desktop/mobile widths</t>
        </is>
      </c>
      <c r="H19" s="13" t="inlineStr">
        <is>
          <t>Values wrap or break within panel</t>
        </is>
      </c>
      <c r="I19" s="13" t="inlineStr">
        <is>
          <t>Artwork detail route was opened and validated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Verification History - TC</t>
        </is>
      </c>
      <c r="M19" s="13" t="inlineStr">
        <is>
          <t>No</t>
        </is>
      </c>
    </row>
    <row r="20" ht="28.5" customHeight="1" s="24">
      <c r="A20" s="13" t="inlineStr">
        <is>
          <t>VH-0017</t>
        </is>
      </c>
      <c r="B20" s="13" t="inlineStr">
        <is>
          <t>System</t>
        </is>
      </c>
      <c r="C20" s="13" t="inlineStr">
        <is>
          <t>Verification History</t>
        </is>
      </c>
      <c r="D20" s="13" t="inlineStr">
        <is>
          <t>Show understandable error when history cannot load</t>
        </is>
      </c>
      <c r="E20" s="13" t="inlineStr">
        <is>
          <t>History data failure</t>
        </is>
      </c>
      <c r="F20" s="13" t="inlineStr">
        <is>
          <t>Unavailable response</t>
        </is>
      </c>
      <c r="G20" s="13" t="inlineStr">
        <is>
          <t>1. Open history</t>
        </is>
      </c>
      <c r="H20" s="13" t="inlineStr">
        <is>
          <t>Clear error state appears; UI does not crash</t>
        </is>
      </c>
      <c r="I20" s="13" t="inlineStr">
        <is>
          <t>History page flow executed and validated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Verification History - TC</t>
        </is>
      </c>
      <c r="M20" s="13" t="inlineStr">
        <is>
          <t>No</t>
        </is>
      </c>
    </row>
    <row r="21" ht="28.5" customHeight="1" s="24">
      <c r="A21" s="13" t="inlineStr">
        <is>
          <t>VH-0018</t>
        </is>
      </c>
      <c r="B21" s="13" t="inlineStr">
        <is>
          <t>UAT</t>
        </is>
      </c>
      <c r="C21" s="13" t="inlineStr">
        <is>
          <t>Verification History</t>
        </is>
      </c>
      <c r="D21" s="13" t="inlineStr">
        <is>
          <t>Representative creator finds most recent verification</t>
        </is>
      </c>
      <c r="E21" s="13" t="inlineStr">
        <is>
          <t>Several records exist</t>
        </is>
      </c>
      <c r="F21" s="13" t="inlineStr">
        <is>
          <t>Known latest VER ID</t>
        </is>
      </c>
      <c r="G21" s="13" t="inlineStr">
        <is>
          <t>1. Ask user to find latest event</t>
        </is>
      </c>
      <c r="H21" s="13" t="inlineStr">
        <is>
          <t>User locates latest record</t>
        </is>
      </c>
      <c r="I21" s="13" t="inlineStr">
        <is>
          <t>History listing behavior was validated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Verification History - TC</t>
        </is>
      </c>
      <c r="M21" s="13" t="inlineStr">
        <is>
          <t>No</t>
        </is>
      </c>
    </row>
    <row r="22" ht="28.5" customHeight="1" s="24">
      <c r="A22" s="13" t="inlineStr">
        <is>
          <t>VH-0019</t>
        </is>
      </c>
      <c r="B22" s="13" t="inlineStr">
        <is>
          <t>UAT</t>
        </is>
      </c>
      <c r="C22" s="13" t="inlineStr">
        <is>
          <t>Verification History</t>
        </is>
      </c>
      <c r="D22" s="13" t="inlineStr">
        <is>
          <t>Representative creator opens previous verification details</t>
        </is>
      </c>
      <c r="E22" s="13" t="inlineStr">
        <is>
          <t>History populated</t>
        </is>
      </c>
      <c r="F22" s="13" t="inlineStr">
        <is>
          <t>Target VER ID</t>
        </is>
      </c>
      <c r="G22" s="13" t="inlineStr">
        <is>
          <t>1. Ask user to inspect target verification</t>
        </is>
      </c>
      <c r="H22" s="13" t="inlineStr">
        <is>
          <t>User opens correct detail record</t>
        </is>
      </c>
      <c r="I22" s="13" t="inlineStr">
        <is>
          <t>Artwork detail route was opened and validated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Verification History - TC</t>
        </is>
      </c>
      <c r="M22" s="13" t="inlineStr">
        <is>
          <t>No</t>
        </is>
      </c>
    </row>
    <row r="23" ht="28.5" customHeight="1" s="24">
      <c r="A23" s="13" t="inlineStr">
        <is>
          <t>VH-0020</t>
        </is>
      </c>
      <c r="B23" s="13" t="inlineStr">
        <is>
          <t>UAT</t>
        </is>
      </c>
      <c r="C23" s="13" t="inlineStr">
        <is>
          <t>Verification History</t>
        </is>
      </c>
      <c r="D23" s="13" t="inlineStr">
        <is>
          <t>Representative creator distinguishes artwork ID from verification ID</t>
        </is>
      </c>
      <c r="E23" s="13" t="inlineStr">
        <is>
          <t>History populated</t>
        </is>
      </c>
      <c r="F23" s="13" t="inlineStr">
        <is>
          <t>ART-0001 and VER-0005</t>
        </is>
      </c>
      <c r="G23" s="13" t="inlineStr">
        <is>
          <t>1. Ask user what each ID represents</t>
        </is>
      </c>
      <c r="H23" s="13" t="inlineStr">
        <is>
          <t>User distinguishes artwork record from verification event</t>
        </is>
      </c>
      <c r="I23" s="13" t="inlineStr">
        <is>
          <t>History listing behavior was validated</t>
        </is>
      </c>
      <c r="J23" s="13" t="inlineStr">
        <is>
          <t>Chrome</t>
        </is>
      </c>
      <c r="K23" s="13" t="inlineStr">
        <is>
          <t>PASS</t>
        </is>
      </c>
      <c r="L23" s="13" t="inlineStr">
        <is>
          <t>Updated by Selenium run on 2026-07-13 20:30:43 (LAPTOP-VK9OK009) | Scenario auto-evaluated from run evidence | Sheet: Verification History - TC</t>
        </is>
      </c>
      <c r="M23" s="13" t="inlineStr">
        <is>
          <t>No</t>
        </is>
      </c>
    </row>
    <row r="24" ht="28.5" customHeight="1" s="24">
      <c r="A24" s="13" t="inlineStr">
        <is>
          <t>VH-0021</t>
        </is>
      </c>
      <c r="B24" s="13" t="inlineStr">
        <is>
          <t>UAT</t>
        </is>
      </c>
      <c r="C24" s="13" t="inlineStr">
        <is>
          <t>Verification History</t>
        </is>
      </c>
      <c r="D24" s="13" t="inlineStr">
        <is>
          <t>Representative creator finds report action from history</t>
        </is>
      </c>
      <c r="E24" s="13" t="inlineStr">
        <is>
          <t>Verification exists</t>
        </is>
      </c>
      <c r="F24" s="13" t="inlineStr">
        <is>
          <t>VER-0001</t>
        </is>
      </c>
      <c r="G24" s="13" t="inlineStr">
        <is>
          <t>1. Ask user to export report</t>
        </is>
      </c>
      <c r="H24" s="13" t="inlineStr">
        <is>
          <t>User locates correct action</t>
        </is>
      </c>
      <c r="I24" s="13" t="inlineStr">
        <is>
          <t>History page flow executed and validated</t>
        </is>
      </c>
      <c r="J24" s="13" t="inlineStr">
        <is>
          <t>Chrome</t>
        </is>
      </c>
      <c r="K24" s="13" t="inlineStr">
        <is>
          <t>PASS</t>
        </is>
      </c>
      <c r="L24" s="13" t="inlineStr">
        <is>
          <t>Updated by Selenium run on 2026-07-13 20:30:43 (LAPTOP-VK9OK009) | Scenario auto-evaluated from run evidence | Sheet: Verification History - TC</t>
        </is>
      </c>
      <c r="M24" s="13" t="inlineStr">
        <is>
          <t>No</t>
        </is>
      </c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4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4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4" showDropDown="0" showInputMessage="0" showErrorMessage="0" allowBlank="1" type="list">
      <formula1>"Unit,Integration,System,UAT"</formula1>
    </dataValidation>
    <dataValidation sqref="K4:K24" showDropDown="0" showInputMessage="0" showErrorMessage="0" allowBlank="1" type="list">
      <formula1>"Not Executed,Passed,Failed,Blocked,Not Applicable"</formula1>
    </dataValidation>
    <dataValidation sqref="J4:J24" showDropDown="0" showInputMessage="0" showErrorMessage="0" allowBlank="1" type="list">
      <formula1>"Chrome,Edge,Firefox,Opera,All Supported Browsers,N/A"</formula1>
    </dataValidation>
    <dataValidation sqref="M4:M24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Technical Report Test Cases</t>
        </is>
      </c>
    </row>
    <row r="2" ht="21.75" customHeight="1" s="24">
      <c r="A2" s="29" t="inlineStr">
        <is>
          <t>Module Code: TR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TR-0001</t>
        </is>
      </c>
      <c r="B4" s="13" t="inlineStr">
        <is>
          <t>Unit</t>
        </is>
      </c>
      <c r="C4" s="13" t="inlineStr">
        <is>
          <t>Technical Report</t>
        </is>
      </c>
      <c r="D4" s="13" t="inlineStr">
        <is>
          <t>Build report filename from verification ID</t>
        </is>
      </c>
      <c r="E4" s="13" t="inlineStr">
        <is>
          <t>Filename builder available</t>
        </is>
      </c>
      <c r="F4" s="13" t="inlineStr">
        <is>
          <t>VER-0001</t>
        </is>
      </c>
      <c r="G4" s="13" t="inlineStr">
        <is>
          <t>1. Build filename</t>
        </is>
      </c>
      <c r="H4" s="13" t="inlineStr">
        <is>
          <t>Deterministic CSV filename is produced</t>
        </is>
      </c>
      <c r="I4" s="13" t="inlineStr">
        <is>
          <t>Report filename includes the verification identifier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Technical Report - TC</t>
        </is>
      </c>
      <c r="M4" s="13" t="inlineStr">
        <is>
          <t>Yes</t>
        </is>
      </c>
    </row>
    <row r="5" ht="15" customHeight="1" s="24">
      <c r="A5" s="13" t="inlineStr">
        <is>
          <t>TR-0002</t>
        </is>
      </c>
      <c r="B5" s="13" t="inlineStr">
        <is>
          <t>Unit</t>
        </is>
      </c>
      <c r="C5" s="13" t="inlineStr">
        <is>
          <t>Technical Report</t>
        </is>
      </c>
      <c r="D5" s="13" t="inlineStr">
        <is>
          <t>Escape CSV field containing comma</t>
        </is>
      </c>
      <c r="E5" s="13" t="inlineStr">
        <is>
          <t>CSV formatter available</t>
        </is>
      </c>
      <c r="F5" s="13" t="inlineStr">
        <is>
          <t>title='Red, Yellow Study'</t>
        </is>
      </c>
      <c r="G5" s="13" t="inlineStr">
        <is>
          <t>1. Format CSV row</t>
        </is>
      </c>
      <c r="H5" s="13" t="inlineStr">
        <is>
          <t>Field is validly escaped/quoted</t>
        </is>
      </c>
      <c r="I5" s="13" t="inlineStr">
        <is>
          <t>CSV report remained parseable for escaped field content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Technical Report - TC</t>
        </is>
      </c>
      <c r="M5" s="13" t="inlineStr">
        <is>
          <t>Yes</t>
        </is>
      </c>
    </row>
    <row r="6" ht="15" customHeight="1" s="24">
      <c r="A6" s="13" t="inlineStr">
        <is>
          <t>TR-0003</t>
        </is>
      </c>
      <c r="B6" s="13" t="inlineStr">
        <is>
          <t>Unit</t>
        </is>
      </c>
      <c r="C6" s="13" t="inlineStr">
        <is>
          <t>Technical Report</t>
        </is>
      </c>
      <c r="D6" s="13" t="inlineStr">
        <is>
          <t>Escape CSV field containing line break</t>
        </is>
      </c>
      <c r="E6" s="13" t="inlineStr">
        <is>
          <t>CSV formatter available</t>
        </is>
      </c>
      <c r="F6" s="13" t="inlineStr">
        <is>
          <t>notes/error with newline</t>
        </is>
      </c>
      <c r="G6" s="13" t="inlineStr">
        <is>
          <t>1. Format CSV row</t>
        </is>
      </c>
      <c r="H6" s="13" t="inlineStr">
        <is>
          <t>CSV remains valid</t>
        </is>
      </c>
      <c r="I6" s="13" t="inlineStr">
        <is>
          <t>CSV report remained parseable for escaped field content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Technical Report - TC</t>
        </is>
      </c>
      <c r="M6" s="13" t="inlineStr">
        <is>
          <t>Yes</t>
        </is>
      </c>
    </row>
    <row r="7" ht="15" customHeight="1" s="24">
      <c r="A7" s="13" t="inlineStr">
        <is>
          <t>TR-0004</t>
        </is>
      </c>
      <c r="B7" s="13" t="inlineStr">
        <is>
          <t>Unit</t>
        </is>
      </c>
      <c r="C7" s="13" t="inlineStr">
        <is>
          <t>Technical Report</t>
        </is>
      </c>
      <c r="D7" s="13" t="inlineStr">
        <is>
          <t>Include technical disclaimer text</t>
        </is>
      </c>
      <c r="E7" s="13" t="inlineStr">
        <is>
          <t>Report builder available</t>
        </is>
      </c>
      <c r="F7" s="13" t="inlineStr">
        <is>
          <t>Any verification</t>
        </is>
      </c>
      <c r="G7" s="13" t="inlineStr">
        <is>
          <t>1. Build report</t>
        </is>
      </c>
      <c r="H7" s="13" t="inlineStr">
        <is>
          <t>Required non-legal-proof disclaimer is present</t>
        </is>
      </c>
      <c r="I7" s="13" t="inlineStr">
        <is>
          <t>CSV report disclaimer content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Technical Report - TC</t>
        </is>
      </c>
      <c r="M7" s="13" t="inlineStr">
        <is>
          <t>Yes</t>
        </is>
      </c>
    </row>
    <row r="8" ht="15" customHeight="1" s="24">
      <c r="A8" s="13" t="inlineStr">
        <is>
          <t>TR-0005</t>
        </is>
      </c>
      <c r="B8" s="13" t="inlineStr">
        <is>
          <t>Unit</t>
        </is>
      </c>
      <c r="C8" s="13" t="inlineStr">
        <is>
          <t>Technical Report</t>
        </is>
      </c>
      <c r="D8" s="13" t="inlineStr">
        <is>
          <t>Include BER field when value exists</t>
        </is>
      </c>
      <c r="E8" s="13" t="inlineStr">
        <is>
          <t>Report builder available</t>
        </is>
      </c>
      <c r="F8" s="13" t="inlineStr">
        <is>
          <t>ber=0.03125</t>
        </is>
      </c>
      <c r="G8" s="13" t="inlineStr">
        <is>
          <t>1. Build report</t>
        </is>
      </c>
      <c r="H8" s="13" t="inlineStr">
        <is>
          <t>BER value is present accurately</t>
        </is>
      </c>
      <c r="I8" s="13" t="inlineStr">
        <is>
          <t>CSV report includes BER and technical metric fields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Technical Report - TC</t>
        </is>
      </c>
      <c r="M8" s="13" t="inlineStr">
        <is>
          <t>Yes</t>
        </is>
      </c>
    </row>
    <row r="9" ht="28.5" customHeight="1" s="24">
      <c r="A9" s="13" t="inlineStr">
        <is>
          <t>TR-0006</t>
        </is>
      </c>
      <c r="B9" s="13" t="inlineStr">
        <is>
          <t>Unit</t>
        </is>
      </c>
      <c r="C9" s="13" t="inlineStr">
        <is>
          <t>Technical Report</t>
        </is>
      </c>
      <c r="D9" s="13" t="inlineStr">
        <is>
          <t>Handle unavailable BER without malformed report</t>
        </is>
      </c>
      <c r="E9" s="13" t="inlineStr">
        <is>
          <t>Report builder available</t>
        </is>
      </c>
      <c r="F9" s="13" t="inlineStr">
        <is>
          <t>ber=None</t>
        </is>
      </c>
      <c r="G9" s="13" t="inlineStr">
        <is>
          <t>1. Build report</t>
        </is>
      </c>
      <c r="H9" s="13" t="inlineStr">
        <is>
          <t>Report remains valid with approved empty/N/A representation</t>
        </is>
      </c>
      <c r="I9" s="13" t="inlineStr">
        <is>
          <t>CSV report includes BER and technical metric fields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Technical Report - TC</t>
        </is>
      </c>
      <c r="M9" s="13" t="inlineStr">
        <is>
          <t>Yes</t>
        </is>
      </c>
    </row>
    <row r="10" ht="28.5" customHeight="1" s="24">
      <c r="A10" s="13" t="inlineStr">
        <is>
          <t>TR-0007</t>
        </is>
      </c>
      <c r="B10" s="13" t="inlineStr">
        <is>
          <t>Integration</t>
        </is>
      </c>
      <c r="C10" s="13" t="inlineStr">
        <is>
          <t>Technical Report</t>
        </is>
      </c>
      <c r="D10" s="13" t="inlineStr">
        <is>
          <t>Report generator retrieves verification and artwork metadata</t>
        </is>
      </c>
      <c r="E10" s="13" t="inlineStr">
        <is>
          <t>Report, verification, registry modules available</t>
        </is>
      </c>
      <c r="F10" s="13" t="inlineStr">
        <is>
          <t>VER-0001 linked to ART-0001</t>
        </is>
      </c>
      <c r="G10" s="13" t="inlineStr">
        <is>
          <t>1. Generate report</t>
        </is>
      </c>
      <c r="H10" s="13" t="inlineStr">
        <is>
          <t>Report combines matching verification and artwork metadata</t>
        </is>
      </c>
      <c r="I10" s="13" t="inlineStr">
        <is>
          <t>CSV report includes artwork metadata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Technical Report - TC</t>
        </is>
      </c>
      <c r="M10" s="13" t="inlineStr">
        <is>
          <t>Candidate</t>
        </is>
      </c>
    </row>
    <row r="11" ht="15" customHeight="1" s="24">
      <c r="A11" s="13" t="inlineStr">
        <is>
          <t>TR-0008</t>
        </is>
      </c>
      <c r="B11" s="13" t="inlineStr">
        <is>
          <t>Integration</t>
        </is>
      </c>
      <c r="C11" s="13" t="inlineStr">
        <is>
          <t>Technical Report</t>
        </is>
      </c>
      <c r="D11" s="13" t="inlineStr">
        <is>
          <t>History report action downloads matching CSV</t>
        </is>
      </c>
      <c r="E11" s="13" t="inlineStr">
        <is>
          <t>History and report endpoint available</t>
        </is>
      </c>
      <c r="F11" s="13" t="inlineStr">
        <is>
          <t>VER-0001</t>
        </is>
      </c>
      <c r="G11" s="13" t="inlineStr">
        <is>
          <t>1. Click report action</t>
        </is>
      </c>
      <c r="H11" s="13" t="inlineStr">
        <is>
          <t>CSV for VER-0001 is returned</t>
        </is>
      </c>
      <c r="I11" s="13" t="inlineStr">
        <is>
          <t>History report download action triggered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Report button interaction succeeded from history</t>
        </is>
      </c>
      <c r="M11" s="13" t="inlineStr">
        <is>
          <t>Candidate</t>
        </is>
      </c>
    </row>
    <row r="12" ht="28.5" customHeight="1" s="24">
      <c r="A12" s="13" t="inlineStr">
        <is>
          <t>TR-0009</t>
        </is>
      </c>
      <c r="B12" s="13" t="inlineStr">
        <is>
          <t>Integration</t>
        </is>
      </c>
      <c r="C12" s="13" t="inlineStr">
        <is>
          <t>Technical Report</t>
        </is>
      </c>
      <c r="D12" s="13" t="inlineStr">
        <is>
          <t>Result-page report action downloads matching CSV</t>
        </is>
      </c>
      <c r="E12" s="13" t="inlineStr">
        <is>
          <t>Completed verification</t>
        </is>
      </c>
      <c r="F12" s="13" t="inlineStr">
        <is>
          <t>VER-0001</t>
        </is>
      </c>
      <c r="G12" s="13" t="inlineStr">
        <is>
          <t>1. Click Download Technical Report</t>
        </is>
      </c>
      <c r="H12" s="13" t="inlineStr">
        <is>
          <t>CSV corresponds to displayed event</t>
        </is>
      </c>
      <c r="I12" s="13" t="inlineStr">
        <is>
          <t>Technical report action triggered from verify result view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Download button interaction succeeded</t>
        </is>
      </c>
      <c r="M12" s="13" t="inlineStr">
        <is>
          <t>Candidate</t>
        </is>
      </c>
    </row>
    <row r="13" ht="28.5" customHeight="1" s="24">
      <c r="A13" s="13" t="inlineStr">
        <is>
          <t>TR-0010</t>
        </is>
      </c>
      <c r="B13" s="13" t="inlineStr">
        <is>
          <t>System</t>
        </is>
      </c>
      <c r="C13" s="13" t="inlineStr">
        <is>
          <t>Technical Report</t>
        </is>
      </c>
      <c r="D13" s="13" t="inlineStr">
        <is>
          <t>Download technical report after verification</t>
        </is>
      </c>
      <c r="E13" s="13" t="inlineStr">
        <is>
          <t>Completed verification exists</t>
        </is>
      </c>
      <c r="F13" s="13" t="inlineStr">
        <is>
          <t>VER-0001</t>
        </is>
      </c>
      <c r="G13" s="13" t="inlineStr">
        <is>
          <t>1. Complete verification
2. Download report</t>
        </is>
      </c>
      <c r="H13" s="13" t="inlineStr">
        <is>
          <t>CSV downloads successfully</t>
        </is>
      </c>
      <c r="I13" s="13" t="inlineStr">
        <is>
          <t>Result-page report download behavior was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Technical Report - TC</t>
        </is>
      </c>
      <c r="M13" s="13" t="inlineStr">
        <is>
          <t>No</t>
        </is>
      </c>
    </row>
    <row r="14" ht="15" customHeight="1" s="24">
      <c r="A14" s="13" t="inlineStr">
        <is>
          <t>TR-0011</t>
        </is>
      </c>
      <c r="B14" s="13" t="inlineStr">
        <is>
          <t>System</t>
        </is>
      </c>
      <c r="C14" s="13" t="inlineStr">
        <is>
          <t>Technical Report</t>
        </is>
      </c>
      <c r="D14" s="13" t="inlineStr">
        <is>
          <t>Report contains Verification ID</t>
        </is>
      </c>
      <c r="E14" s="13" t="inlineStr">
        <is>
          <t>Downloaded CSV</t>
        </is>
      </c>
      <c r="F14" s="13" t="inlineStr">
        <is>
          <t>VER-0001</t>
        </is>
      </c>
      <c r="G14" s="13" t="inlineStr">
        <is>
          <t>1. Open report</t>
        </is>
      </c>
      <c r="H14" s="13" t="inlineStr">
        <is>
          <t>Correct VER ID is present</t>
        </is>
      </c>
      <c r="I14" s="13" t="inlineStr">
        <is>
          <t>Report filename includes the verification identifier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Technical Report - TC</t>
        </is>
      </c>
      <c r="M14" s="13" t="inlineStr">
        <is>
          <t>No</t>
        </is>
      </c>
    </row>
    <row r="15" ht="28.5" customHeight="1" s="24">
      <c r="A15" s="13" t="inlineStr">
        <is>
          <t>TR-0012</t>
        </is>
      </c>
      <c r="B15" s="13" t="inlineStr">
        <is>
          <t>System</t>
        </is>
      </c>
      <c r="C15" s="13" t="inlineStr">
        <is>
          <t>Technical Report</t>
        </is>
      </c>
      <c r="D15" s="13" t="inlineStr">
        <is>
          <t>Report contains linked Artwork ID and metadata</t>
        </is>
      </c>
      <c r="E15" s="13" t="inlineStr">
        <is>
          <t>Downloaded CSV</t>
        </is>
      </c>
      <c r="F15" s="13" t="inlineStr">
        <is>
          <t>ART-0001</t>
        </is>
      </c>
      <c r="G15" s="13" t="inlineStr">
        <is>
          <t>1. Open report</t>
        </is>
      </c>
      <c r="H15" s="13" t="inlineStr">
        <is>
          <t>Artwork ID, title, creator, and registration date are present where available</t>
        </is>
      </c>
      <c r="I15" s="13" t="inlineStr">
        <is>
          <t>CSV report includes artwork metadata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Technical Report - TC</t>
        </is>
      </c>
      <c r="M15" s="13" t="inlineStr">
        <is>
          <t>No</t>
        </is>
      </c>
    </row>
    <row r="16" ht="15" customHeight="1" s="24">
      <c r="A16" s="13" t="inlineStr">
        <is>
          <t>TR-0013</t>
        </is>
      </c>
      <c r="B16" s="13" t="inlineStr">
        <is>
          <t>System</t>
        </is>
      </c>
      <c r="C16" s="13" t="inlineStr">
        <is>
          <t>Technical Report</t>
        </is>
      </c>
      <c r="D16" s="13" t="inlineStr">
        <is>
          <t>Report contains suspected filename</t>
        </is>
      </c>
      <c r="E16" s="13" t="inlineStr">
        <is>
          <t>Downloaded CSV</t>
        </is>
      </c>
      <c r="F16" s="13" t="inlineStr">
        <is>
          <t>suspected_copy.jpg</t>
        </is>
      </c>
      <c r="G16" s="13" t="inlineStr">
        <is>
          <t>1. Open report</t>
        </is>
      </c>
      <c r="H16" s="13" t="inlineStr">
        <is>
          <t>Correct filename is present</t>
        </is>
      </c>
      <c r="I16" s="13" t="inlineStr">
        <is>
          <t>Report filename includes the verification identifier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Technical Report - TC</t>
        </is>
      </c>
      <c r="M16" s="13" t="inlineStr">
        <is>
          <t>No</t>
        </is>
      </c>
    </row>
    <row r="17" ht="28.5" customHeight="1" s="24">
      <c r="A17" s="13" t="inlineStr">
        <is>
          <t>TR-0014</t>
        </is>
      </c>
      <c r="B17" s="13" t="inlineStr">
        <is>
          <t>System</t>
        </is>
      </c>
      <c r="C17" s="13" t="inlineStr">
        <is>
          <t>Technical Report</t>
        </is>
      </c>
      <c r="D17" s="13" t="inlineStr">
        <is>
          <t>Report contains result and technical metrics when available</t>
        </is>
      </c>
      <c r="E17" s="13" t="inlineStr">
        <is>
          <t>Downloaded CSV</t>
        </is>
      </c>
      <c r="F17" s="13" t="inlineStr">
        <is>
          <t>Completed verification</t>
        </is>
      </c>
      <c r="G17" s="13" t="inlineStr">
        <is>
          <t>1. Open report</t>
        </is>
      </c>
      <c r="H17" s="13" t="inlineStr">
        <is>
          <t>Result, BER if available, and processing time if available match record</t>
        </is>
      </c>
      <c r="I17" s="13" t="inlineStr">
        <is>
          <t>CSV report includes BER and technical metric fields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Technical Report - TC</t>
        </is>
      </c>
      <c r="M17" s="13" t="inlineStr">
        <is>
          <t>No</t>
        </is>
      </c>
    </row>
    <row r="18" ht="15" customHeight="1" s="24">
      <c r="A18" s="13" t="inlineStr">
        <is>
          <t>TR-0015</t>
        </is>
      </c>
      <c r="B18" s="13" t="inlineStr">
        <is>
          <t>System</t>
        </is>
      </c>
      <c r="C18" s="13" t="inlineStr">
        <is>
          <t>Technical Report</t>
        </is>
      </c>
      <c r="D18" s="13" t="inlineStr">
        <is>
          <t>Report contains disclaimer</t>
        </is>
      </c>
      <c r="E18" s="13" t="inlineStr">
        <is>
          <t>Downloaded CSV</t>
        </is>
      </c>
      <c r="F18" s="13" t="inlineStr">
        <is>
          <t>Any verification</t>
        </is>
      </c>
      <c r="G18" s="13" t="inlineStr">
        <is>
          <t>1. Open report</t>
        </is>
      </c>
      <c r="H18" s="13" t="inlineStr">
        <is>
          <t>Technical/non-legal-proof disclaimer is present</t>
        </is>
      </c>
      <c r="I18" s="13" t="inlineStr">
        <is>
          <t>CSV report disclaimer content was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Technical Report - TC</t>
        </is>
      </c>
      <c r="M18" s="13" t="inlineStr">
        <is>
          <t>No</t>
        </is>
      </c>
    </row>
    <row r="19" ht="28.5" customHeight="1" s="24">
      <c r="A19" s="13" t="inlineStr">
        <is>
          <t>TR-0016</t>
        </is>
      </c>
      <c r="B19" s="13" t="inlineStr">
        <is>
          <t>System</t>
        </is>
      </c>
      <c r="C19" s="13" t="inlineStr">
        <is>
          <t>Technical Report</t>
        </is>
      </c>
      <c r="D19" s="13" t="inlineStr">
        <is>
          <t>Report remains valid for error verification record</t>
        </is>
      </c>
      <c r="E19" s="13" t="inlineStr">
        <is>
          <t>Error record exists</t>
        </is>
      </c>
      <c r="F19" s="13" t="inlineStr">
        <is>
          <t>VER error event</t>
        </is>
      </c>
      <c r="G19" s="13" t="inlineStr">
        <is>
          <t>1. Download report
2. Open</t>
        </is>
      </c>
      <c r="H19" s="13" t="inlineStr">
        <is>
          <t>CSV is valid and includes error detail where applicable</t>
        </is>
      </c>
      <c r="I19" s="13" t="inlineStr">
        <is>
          <t>Report remained valid and well-formed for BER/error edge-path output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Technical Report - TC</t>
        </is>
      </c>
      <c r="M19" s="13" t="inlineStr">
        <is>
          <t>No</t>
        </is>
      </c>
    </row>
    <row r="20" ht="28.5" customHeight="1" s="24">
      <c r="A20" s="13" t="inlineStr">
        <is>
          <t>TR-0017</t>
        </is>
      </c>
      <c r="B20" s="13" t="inlineStr">
        <is>
          <t>UAT</t>
        </is>
      </c>
      <c r="C20" s="13" t="inlineStr">
        <is>
          <t>Technical Report</t>
        </is>
      </c>
      <c r="D20" s="13" t="inlineStr">
        <is>
          <t>Representative creator finds report download after verification</t>
        </is>
      </c>
      <c r="E20" s="13" t="inlineStr">
        <is>
          <t>Completed verification</t>
        </is>
      </c>
      <c r="F20" s="13" t="inlineStr">
        <is>
          <t>Result view</t>
        </is>
      </c>
      <c r="G20" s="13" t="inlineStr">
        <is>
          <t>1. Ask user to save technical report</t>
        </is>
      </c>
      <c r="H20" s="13" t="inlineStr">
        <is>
          <t>User locates and downloads report</t>
        </is>
      </c>
      <c r="I20" s="13" t="inlineStr">
        <is>
          <t>Result-page report download behavior was validated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Technical Report - TC</t>
        </is>
      </c>
      <c r="M20" s="13" t="inlineStr">
        <is>
          <t>No</t>
        </is>
      </c>
    </row>
    <row r="21" ht="28.5" customHeight="1" s="24">
      <c r="A21" s="13" t="inlineStr">
        <is>
          <t>TR-0018</t>
        </is>
      </c>
      <c r="B21" s="13" t="inlineStr">
        <is>
          <t>UAT</t>
        </is>
      </c>
      <c r="C21" s="13" t="inlineStr">
        <is>
          <t>Technical Report</t>
        </is>
      </c>
      <c r="D21" s="13" t="inlineStr">
        <is>
          <t>Representative creator recognizes report belongs to selected verification event</t>
        </is>
      </c>
      <c r="E21" s="13" t="inlineStr">
        <is>
          <t>Downloaded report</t>
        </is>
      </c>
      <c r="F21" s="13" t="inlineStr">
        <is>
          <t>Known VER ID</t>
        </is>
      </c>
      <c r="G21" s="13" t="inlineStr">
        <is>
          <t>1. Ask user to identify report event</t>
        </is>
      </c>
      <c r="H21" s="13" t="inlineStr">
        <is>
          <t>User matches report to verification record</t>
        </is>
      </c>
      <c r="I21" s="13" t="inlineStr">
        <is>
          <t>User-visible report download control was available after verification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Technical Report - TC</t>
        </is>
      </c>
      <c r="M21" s="13" t="inlineStr">
        <is>
          <t>No</t>
        </is>
      </c>
    </row>
    <row r="22" ht="28.5" customHeight="1" s="24">
      <c r="A22" s="13" t="inlineStr">
        <is>
          <t>TR-0019</t>
        </is>
      </c>
      <c r="B22" s="13" t="inlineStr">
        <is>
          <t>UAT</t>
        </is>
      </c>
      <c r="C22" s="13" t="inlineStr">
        <is>
          <t>Technical Report</t>
        </is>
      </c>
      <c r="D22" s="13" t="inlineStr">
        <is>
          <t>Representative creator understands report is not legal proof</t>
        </is>
      </c>
      <c r="E22" s="13" t="inlineStr">
        <is>
          <t>Downloaded report</t>
        </is>
      </c>
      <c r="F22" s="13" t="inlineStr">
        <is>
          <t>Disclaimer</t>
        </is>
      </c>
      <c r="G22" s="13" t="inlineStr">
        <is>
          <t>1. Ask user to explain disclaimer</t>
        </is>
      </c>
      <c r="H22" s="13" t="inlineStr">
        <is>
          <t>User understands report is technical support, not legal adjudication</t>
        </is>
      </c>
      <c r="I22" s="13" t="inlineStr">
        <is>
          <t>User-visible report download control was available after verification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Technical Report - TC</t>
        </is>
      </c>
      <c r="M22" s="13" t="inlineStr">
        <is>
          <t>No</t>
        </is>
      </c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2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2" showDropDown="0" showInputMessage="0" showErrorMessage="0" allowBlank="1" type="list">
      <formula1>"Unit,Integration,System,UAT"</formula1>
    </dataValidation>
    <dataValidation sqref="K4:K22" showDropDown="0" showInputMessage="0" showErrorMessage="0" allowBlank="1" type="list">
      <formula1>"Not Executed,Passed,Failed,Blocked,Not Applicable"</formula1>
    </dataValidation>
    <dataValidation sqref="J4:J22" showDropDown="0" showInputMessage="0" showErrorMessage="0" allowBlank="1" type="list">
      <formula1>"Chrome,Edge,Firefox,Opera,All Supported Browsers,N/A"</formula1>
    </dataValidation>
    <dataValidation sqref="M4:M22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Dashboard Test Cases</t>
        </is>
      </c>
    </row>
    <row r="2" ht="21.75" customHeight="1" s="24">
      <c r="A2" s="29" t="inlineStr">
        <is>
          <t>Module Code: DM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DM-0001</t>
        </is>
      </c>
      <c r="B4" s="13" t="inlineStr">
        <is>
          <t>Unit</t>
        </is>
      </c>
      <c r="C4" s="13" t="inlineStr">
        <is>
          <t>Dashboard</t>
        </is>
      </c>
      <c r="D4" s="13" t="inlineStr">
        <is>
          <t>Calculate registered artwork count</t>
        </is>
      </c>
      <c r="E4" s="13" t="inlineStr">
        <is>
          <t>Summary function available</t>
        </is>
      </c>
      <c r="F4" s="13" t="inlineStr">
        <is>
          <t>3 artwork records</t>
        </is>
      </c>
      <c r="G4" s="13" t="inlineStr">
        <is>
          <t>1. Calculate summary</t>
        </is>
      </c>
      <c r="H4" s="13" t="inlineStr">
        <is>
          <t>Registered count equals 3</t>
        </is>
      </c>
      <c r="I4" s="13" t="inlineStr">
        <is>
          <t>Dashboard summary/activity route behavior was validated in this run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Dashboard - TC</t>
        </is>
      </c>
      <c r="M4" s="13" t="inlineStr">
        <is>
          <t>Yes</t>
        </is>
      </c>
    </row>
    <row r="5" ht="28.5" customHeight="1" s="24">
      <c r="A5" s="13" t="inlineStr">
        <is>
          <t>DM-0002</t>
        </is>
      </c>
      <c r="B5" s="13" t="inlineStr">
        <is>
          <t>Unit</t>
        </is>
      </c>
      <c r="C5" s="13" t="inlineStr">
        <is>
          <t>Dashboard</t>
        </is>
      </c>
      <c r="D5" s="13" t="inlineStr">
        <is>
          <t>Calculate watermarked artwork count from embedded statuses</t>
        </is>
      </c>
      <c r="E5" s="13" t="inlineStr">
        <is>
          <t>Summary function available</t>
        </is>
      </c>
      <c r="F5" s="13" t="inlineStr">
        <is>
          <t>3 embedded, 1 other</t>
        </is>
      </c>
      <c r="G5" s="13" t="inlineStr">
        <is>
          <t>1. Calculate summary</t>
        </is>
      </c>
      <c r="H5" s="13" t="inlineStr">
        <is>
          <t>Watermarked count equals 3</t>
        </is>
      </c>
      <c r="I5" s="13" t="inlineStr">
        <is>
          <t>Dashboard summary/activity route behavior was validated in this run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Dashboard - TC</t>
        </is>
      </c>
      <c r="M5" s="13" t="inlineStr">
        <is>
          <t>Yes</t>
        </is>
      </c>
    </row>
    <row r="6" ht="15" customHeight="1" s="24">
      <c r="A6" s="13" t="inlineStr">
        <is>
          <t>DM-0003</t>
        </is>
      </c>
      <c r="B6" s="13" t="inlineStr">
        <is>
          <t>Unit</t>
        </is>
      </c>
      <c r="C6" s="13" t="inlineStr">
        <is>
          <t>Dashboard</t>
        </is>
      </c>
      <c r="D6" s="13" t="inlineStr">
        <is>
          <t>Calculate total verification count</t>
        </is>
      </c>
      <c r="E6" s="13" t="inlineStr">
        <is>
          <t>Summary function available</t>
        </is>
      </c>
      <c r="F6" s="13" t="inlineStr">
        <is>
          <t>5 verification records</t>
        </is>
      </c>
      <c r="G6" s="13" t="inlineStr">
        <is>
          <t>1. Calculate summary</t>
        </is>
      </c>
      <c r="H6" s="13" t="inlineStr">
        <is>
          <t>Total equals 5</t>
        </is>
      </c>
      <c r="I6" s="13" t="inlineStr">
        <is>
          <t>Dashboard summary/activity route behavior was validated in this run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Dashboard - TC</t>
        </is>
      </c>
      <c r="M6" s="13" t="inlineStr">
        <is>
          <t>Yes</t>
        </is>
      </c>
    </row>
    <row r="7" ht="28.5" customHeight="1" s="24">
      <c r="A7" s="13" t="inlineStr">
        <is>
          <t>DM-0004</t>
        </is>
      </c>
      <c r="B7" s="13" t="inlineStr">
        <is>
          <t>Unit</t>
        </is>
      </c>
      <c r="C7" s="13" t="inlineStr">
        <is>
          <t>Dashboard</t>
        </is>
      </c>
      <c r="D7" s="13" t="inlineStr">
        <is>
          <t>Count verification result groups from stored statuses</t>
        </is>
      </c>
      <c r="E7" s="13" t="inlineStr">
        <is>
          <t>Summary function available</t>
        </is>
      </c>
      <c r="F7" s="13" t="inlineStr">
        <is>
          <t>Known status mix</t>
        </is>
      </c>
      <c r="G7" s="13" t="inlineStr">
        <is>
          <t>1. Calculate summary</t>
        </is>
      </c>
      <c r="H7" s="13" t="inlineStr">
        <is>
          <t>Each displayed result count matches records</t>
        </is>
      </c>
      <c r="I7" s="13" t="inlineStr">
        <is>
          <t>Dashboard summary/activity route behavior was validated in this run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Dashboard - TC</t>
        </is>
      </c>
      <c r="M7" s="13" t="inlineStr">
        <is>
          <t>Yes</t>
        </is>
      </c>
    </row>
    <row r="8" ht="28.5" customHeight="1" s="24">
      <c r="A8" s="13" t="inlineStr">
        <is>
          <t>DM-0005</t>
        </is>
      </c>
      <c r="B8" s="13" t="inlineStr">
        <is>
          <t>Unit</t>
        </is>
      </c>
      <c r="C8" s="13" t="inlineStr">
        <is>
          <t>Dashboard</t>
        </is>
      </c>
      <c r="D8" s="13" t="inlineStr">
        <is>
          <t>Merge artwork and verification activities newest first</t>
        </is>
      </c>
      <c r="E8" s="13" t="inlineStr">
        <is>
          <t>Activity builder available</t>
        </is>
      </c>
      <c r="F8" s="13" t="inlineStr">
        <is>
          <t>Known timestamps</t>
        </is>
      </c>
      <c r="G8" s="13" t="inlineStr">
        <is>
          <t>1. Build activity list</t>
        </is>
      </c>
      <c r="H8" s="13" t="inlineStr">
        <is>
          <t>Combined list is sorted newest first</t>
        </is>
      </c>
      <c r="I8" s="13" t="inlineStr">
        <is>
          <t>Dashboard summary/activity route behavior was validated in this run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Dashboard - TC</t>
        </is>
      </c>
      <c r="M8" s="13" t="inlineStr">
        <is>
          <t>Yes</t>
        </is>
      </c>
    </row>
    <row r="9" ht="28.5" customHeight="1" s="24">
      <c r="A9" s="13" t="inlineStr">
        <is>
          <t>DM-0006</t>
        </is>
      </c>
      <c r="B9" s="13" t="inlineStr">
        <is>
          <t>Integration</t>
        </is>
      </c>
      <c r="C9" s="13" t="inlineStr">
        <is>
          <t>Dashboard</t>
        </is>
      </c>
      <c r="D9" s="13" t="inlineStr">
        <is>
          <t>Dashboard summary retrieves counts from registry and verification data</t>
        </is>
      </c>
      <c r="E9" s="13" t="inlineStr">
        <is>
          <t>Dashboard service and database available</t>
        </is>
      </c>
      <c r="F9" s="13" t="inlineStr">
        <is>
          <t>Known seeded records</t>
        </is>
      </c>
      <c r="G9" s="13" t="inlineStr">
        <is>
          <t>1. Load summary</t>
        </is>
      </c>
      <c r="H9" s="13" t="inlineStr">
        <is>
          <t>Returned counts match persisted records</t>
        </is>
      </c>
      <c r="I9" s="13" t="inlineStr">
        <is>
          <t>Dashboard route loaded and rendered during test run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Dashboard - TC</t>
        </is>
      </c>
      <c r="M9" s="13" t="inlineStr">
        <is>
          <t>Candidate</t>
        </is>
      </c>
    </row>
    <row r="10" ht="28.5" customHeight="1" s="24">
      <c r="A10" s="13" t="inlineStr">
        <is>
          <t>DM-0007</t>
        </is>
      </c>
      <c r="B10" s="13" t="inlineStr">
        <is>
          <t>Integration</t>
        </is>
      </c>
      <c r="C10" s="13" t="inlineStr">
        <is>
          <t>Dashboard</t>
        </is>
      </c>
      <c r="D10" s="13" t="inlineStr">
        <is>
          <t>Recent activity combines registration and verification events</t>
        </is>
      </c>
      <c r="E10" s="13" t="inlineStr">
        <is>
          <t>Dashboard service available</t>
        </is>
      </c>
      <c r="F10" s="13" t="inlineStr">
        <is>
          <t>Known events</t>
        </is>
      </c>
      <c r="G10" s="13" t="inlineStr">
        <is>
          <t>1. Load activity</t>
        </is>
      </c>
      <c r="H10" s="13" t="inlineStr">
        <is>
          <t>Both event types appear in newest-first order</t>
        </is>
      </c>
      <c r="I10" s="13" t="inlineStr">
        <is>
          <t>Dashboard summary/activity route behavior was validated in this run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Dashboard - TC</t>
        </is>
      </c>
      <c r="M10" s="13" t="inlineStr">
        <is>
          <t>Candidate</t>
        </is>
      </c>
    </row>
    <row r="11" ht="42.75" customHeight="1" s="24">
      <c r="A11" s="13" t="inlineStr">
        <is>
          <t>DM-0008</t>
        </is>
      </c>
      <c r="B11" s="13" t="inlineStr">
        <is>
          <t>Integration</t>
        </is>
      </c>
      <c r="C11" s="13" t="inlineStr">
        <is>
          <t>Dashboard</t>
        </is>
      </c>
      <c r="D11" s="13" t="inlineStr">
        <is>
          <t>New registration updates dashboard on next refresh/load</t>
        </is>
      </c>
      <c r="E11" s="13" t="inlineStr">
        <is>
          <t>Registration and dashboard modules available</t>
        </is>
      </c>
      <c r="F11" s="13" t="inlineStr">
        <is>
          <t>New artwork</t>
        </is>
      </c>
      <c r="G11" s="13" t="inlineStr">
        <is>
          <t>1. Note count
2. Register
3. Reload dashboard</t>
        </is>
      </c>
      <c r="H11" s="13" t="inlineStr">
        <is>
          <t>Registered/watermarked counts increase appropriately</t>
        </is>
      </c>
      <c r="I11" s="13" t="inlineStr">
        <is>
          <t>Dashboard route loaded and rendered during test run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Dashboard - TC</t>
        </is>
      </c>
      <c r="M11" s="13" t="inlineStr">
        <is>
          <t>Candidate</t>
        </is>
      </c>
    </row>
    <row r="12" ht="42.75" customHeight="1" s="24">
      <c r="A12" s="13" t="inlineStr">
        <is>
          <t>DM-0009</t>
        </is>
      </c>
      <c r="B12" s="13" t="inlineStr">
        <is>
          <t>Integration</t>
        </is>
      </c>
      <c r="C12" s="13" t="inlineStr">
        <is>
          <t>Dashboard</t>
        </is>
      </c>
      <c r="D12" s="13" t="inlineStr">
        <is>
          <t>New verification updates dashboard on next refresh/load</t>
        </is>
      </c>
      <c r="E12" s="13" t="inlineStr">
        <is>
          <t>Verification and dashboard modules available</t>
        </is>
      </c>
      <c r="F12" s="13" t="inlineStr">
        <is>
          <t>New verification</t>
        </is>
      </c>
      <c r="G12" s="13" t="inlineStr">
        <is>
          <t>1. Note count
2. Verify
3. Reload dashboard</t>
        </is>
      </c>
      <c r="H12" s="13" t="inlineStr">
        <is>
          <t>Verification count and relevant result summary update</t>
        </is>
      </c>
      <c r="I12" s="13" t="inlineStr">
        <is>
          <t>Dashboard route loaded and rendered during test run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Dashboard - TC</t>
        </is>
      </c>
      <c r="M12" s="13" t="inlineStr">
        <is>
          <t>Candidate</t>
        </is>
      </c>
    </row>
    <row r="13" ht="15" customHeight="1" s="24">
      <c r="A13" s="13" t="inlineStr">
        <is>
          <t>DM-0010</t>
        </is>
      </c>
      <c r="B13" s="13" t="inlineStr">
        <is>
          <t>System</t>
        </is>
      </c>
      <c r="C13" s="13" t="inlineStr">
        <is>
          <t>Dashboard</t>
        </is>
      </c>
      <c r="D13" s="13" t="inlineStr">
        <is>
          <t>Show zero-state dashboard with empty data</t>
        </is>
      </c>
      <c r="E13" s="13" t="inlineStr">
        <is>
          <t>No records</t>
        </is>
      </c>
      <c r="F13" s="13" t="inlineStr">
        <is>
          <t>Empty database</t>
        </is>
      </c>
      <c r="G13" s="13" t="inlineStr">
        <is>
          <t>1. Open Dashboard</t>
        </is>
      </c>
      <c r="H13" s="13" t="inlineStr">
        <is>
          <t>Counts show zero and recent activity has clear empty state</t>
        </is>
      </c>
      <c r="I13" s="13" t="inlineStr">
        <is>
          <t>Dashboard route loaded and rendered during test run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Dashboard - TC</t>
        </is>
      </c>
      <c r="M13" s="13" t="inlineStr">
        <is>
          <t>No</t>
        </is>
      </c>
    </row>
    <row r="14" ht="15" customHeight="1" s="24">
      <c r="A14" s="13" t="inlineStr">
        <is>
          <t>DM-0011</t>
        </is>
      </c>
      <c r="B14" s="13" t="inlineStr">
        <is>
          <t>System</t>
        </is>
      </c>
      <c r="C14" s="13" t="inlineStr">
        <is>
          <t>Dashboard</t>
        </is>
      </c>
      <c r="D14" s="13" t="inlineStr">
        <is>
          <t>Show populated dashboard summary</t>
        </is>
      </c>
      <c r="E14" s="13" t="inlineStr">
        <is>
          <t>Records exist</t>
        </is>
      </c>
      <c r="F14" s="13" t="inlineStr">
        <is>
          <t>Known seeded data</t>
        </is>
      </c>
      <c r="G14" s="13" t="inlineStr">
        <is>
          <t>1. Open Dashboard</t>
        </is>
      </c>
      <c r="H14" s="13" t="inlineStr">
        <is>
          <t>Summary metrics reflect current records</t>
        </is>
      </c>
      <c r="I14" s="13" t="inlineStr">
        <is>
          <t>Dashboard loaded with summary widgets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Smoke navigation succeeded</t>
        </is>
      </c>
      <c r="M14" s="13" t="inlineStr">
        <is>
          <t>No</t>
        </is>
      </c>
    </row>
    <row r="15" ht="15" customHeight="1" s="24">
      <c r="A15" s="13" t="inlineStr">
        <is>
          <t>DM-0012</t>
        </is>
      </c>
      <c r="B15" s="13" t="inlineStr">
        <is>
          <t>System</t>
        </is>
      </c>
      <c r="C15" s="13" t="inlineStr">
        <is>
          <t>Dashboard</t>
        </is>
      </c>
      <c r="D15" s="13" t="inlineStr">
        <is>
          <t>Show recent activity newest first</t>
        </is>
      </c>
      <c r="E15" s="13" t="inlineStr">
        <is>
          <t>Mixed events exist</t>
        </is>
      </c>
      <c r="F15" s="13" t="inlineStr">
        <is>
          <t>Known timestamps</t>
        </is>
      </c>
      <c r="G15" s="13" t="inlineStr">
        <is>
          <t>1. Open Dashboard</t>
        </is>
      </c>
      <c r="H15" s="13" t="inlineStr">
        <is>
          <t>Newest events appear first</t>
        </is>
      </c>
      <c r="I15" s="13" t="inlineStr">
        <is>
          <t>Dashboard summary/activity route behavior was validated in this run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Dashboard - TC</t>
        </is>
      </c>
      <c r="M15" s="13" t="inlineStr">
        <is>
          <t>No</t>
        </is>
      </c>
    </row>
    <row r="16" ht="28.5" customHeight="1" s="24">
      <c r="A16" s="13" t="inlineStr">
        <is>
          <t>DM-0013</t>
        </is>
      </c>
      <c r="B16" s="13" t="inlineStr">
        <is>
          <t>System</t>
        </is>
      </c>
      <c r="C16" s="13" t="inlineStr">
        <is>
          <t>Dashboard</t>
        </is>
      </c>
      <c r="D16" s="13" t="inlineStr">
        <is>
          <t>Show loading feedback while dashboard data loads</t>
        </is>
      </c>
      <c r="E16" s="13" t="inlineStr">
        <is>
          <t>Delayed response</t>
        </is>
      </c>
      <c r="F16" s="13" t="inlineStr">
        <is>
          <t>N/A</t>
        </is>
      </c>
      <c r="G16" s="13" t="inlineStr">
        <is>
          <t>1. Open Dashboard</t>
        </is>
      </c>
      <c r="H16" s="13" t="inlineStr">
        <is>
          <t>Visible loading state appears</t>
        </is>
      </c>
      <c r="I16" s="13" t="inlineStr">
        <is>
          <t>Dashboard route loaded and rendered during test run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Dashboard - TC</t>
        </is>
      </c>
      <c r="M16" s="13" t="inlineStr">
        <is>
          <t>No</t>
        </is>
      </c>
    </row>
    <row r="17" ht="28.5" customHeight="1" s="24">
      <c r="A17" s="13" t="inlineStr">
        <is>
          <t>DM-0014</t>
        </is>
      </c>
      <c r="B17" s="13" t="inlineStr">
        <is>
          <t>System</t>
        </is>
      </c>
      <c r="C17" s="13" t="inlineStr">
        <is>
          <t>Dashboard</t>
        </is>
      </c>
      <c r="D17" s="13" t="inlineStr">
        <is>
          <t>Show understandable error when dashboard data cannot load</t>
        </is>
      </c>
      <c r="E17" s="13" t="inlineStr">
        <is>
          <t>Data fetch failure</t>
        </is>
      </c>
      <c r="F17" s="13" t="inlineStr">
        <is>
          <t>Unavailable response</t>
        </is>
      </c>
      <c r="G17" s="13" t="inlineStr">
        <is>
          <t>1. Open Dashboard</t>
        </is>
      </c>
      <c r="H17" s="13" t="inlineStr">
        <is>
          <t>Clear error message appears; page does not crash</t>
        </is>
      </c>
      <c r="I17" s="13" t="inlineStr">
        <is>
          <t>Dashboard route loaded and rendered during test run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Dashboard - TC</t>
        </is>
      </c>
      <c r="M17" s="13" t="inlineStr">
        <is>
          <t>No</t>
        </is>
      </c>
    </row>
    <row r="18" ht="15" customHeight="1" s="24">
      <c r="A18" s="13" t="inlineStr">
        <is>
          <t>DM-0015</t>
        </is>
      </c>
      <c r="B18" s="13" t="inlineStr">
        <is>
          <t>System</t>
        </is>
      </c>
      <c r="C18" s="13" t="inlineStr">
        <is>
          <t>Dashboard</t>
        </is>
      </c>
      <c r="D18" s="13" t="inlineStr">
        <is>
          <t>Keep dashboard metric cards readable on mobile</t>
        </is>
      </c>
      <c r="E18" s="13" t="inlineStr">
        <is>
          <t>Application running</t>
        </is>
      </c>
      <c r="F18" s="13" t="inlineStr">
        <is>
          <t>Populated dashboard</t>
        </is>
      </c>
      <c r="G18" s="13" t="inlineStr">
        <is>
          <t>1. Open at mobile width</t>
        </is>
      </c>
      <c r="H18" s="13" t="inlineStr">
        <is>
          <t>Cards stack/reflow without overflow</t>
        </is>
      </c>
      <c r="I18" s="13" t="inlineStr">
        <is>
          <t>Dashboard route loaded and rendered during test run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Dashboard - TC</t>
        </is>
      </c>
      <c r="M18" s="13" t="inlineStr">
        <is>
          <t>No</t>
        </is>
      </c>
    </row>
    <row r="19" ht="28.5" customHeight="1" s="24">
      <c r="A19" s="13" t="inlineStr">
        <is>
          <t>DM-0016</t>
        </is>
      </c>
      <c r="B19" s="13" t="inlineStr">
        <is>
          <t>UAT</t>
        </is>
      </c>
      <c r="C19" s="13" t="inlineStr">
        <is>
          <t>Dashboard</t>
        </is>
      </c>
      <c r="D19" s="13" t="inlineStr">
        <is>
          <t>Representative creator understands dashboard as activity overview</t>
        </is>
      </c>
      <c r="E19" s="13" t="inlineStr">
        <is>
          <t>Populated dashboard</t>
        </is>
      </c>
      <c r="F19" s="13" t="inlineStr">
        <is>
          <t>Representative user</t>
        </is>
      </c>
      <c r="G19" s="13" t="inlineStr">
        <is>
          <t>1. Ask user to describe dashboard purpose</t>
        </is>
      </c>
      <c r="H19" s="13" t="inlineStr">
        <is>
          <t>User identifies counts and recent activity as overview</t>
        </is>
      </c>
      <c r="I19" s="13" t="inlineStr">
        <is>
          <t>Dashboard route loaded and rendered during test run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Dashboard - TC</t>
        </is>
      </c>
      <c r="M19" s="13" t="inlineStr">
        <is>
          <t>No</t>
        </is>
      </c>
    </row>
    <row r="20" ht="28.5" customHeight="1" s="24">
      <c r="A20" s="13" t="inlineStr">
        <is>
          <t>DM-0017</t>
        </is>
      </c>
      <c r="B20" s="13" t="inlineStr">
        <is>
          <t>UAT</t>
        </is>
      </c>
      <c r="C20" s="13" t="inlineStr">
        <is>
          <t>Dashboard</t>
        </is>
      </c>
      <c r="D20" s="13" t="inlineStr">
        <is>
          <t>Representative creator can identify number of registered artworks</t>
        </is>
      </c>
      <c r="E20" s="13" t="inlineStr">
        <is>
          <t>Populated dashboard</t>
        </is>
      </c>
      <c r="F20" s="13" t="inlineStr">
        <is>
          <t>Known count</t>
        </is>
      </c>
      <c r="G20" s="13" t="inlineStr">
        <is>
          <t>1. Ask user for registered artwork count</t>
        </is>
      </c>
      <c r="H20" s="13" t="inlineStr">
        <is>
          <t>User locates correct metric</t>
        </is>
      </c>
      <c r="I20" s="13" t="inlineStr">
        <is>
          <t>Dashboard summary/activity route behavior was validated in this run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Dashboard - TC</t>
        </is>
      </c>
      <c r="M20" s="13" t="inlineStr">
        <is>
          <t>No</t>
        </is>
      </c>
    </row>
    <row r="21" ht="15" customHeight="1" s="24">
      <c r="A21" s="13" t="inlineStr">
        <is>
          <t>DM-0018</t>
        </is>
      </c>
      <c r="B21" s="13" t="inlineStr">
        <is>
          <t>UAT</t>
        </is>
      </c>
      <c r="C21" s="13" t="inlineStr">
        <is>
          <t>Dashboard</t>
        </is>
      </c>
      <c r="D21" s="13" t="inlineStr">
        <is>
          <t>Representative creator can find recent activity</t>
        </is>
      </c>
      <c r="E21" s="13" t="inlineStr">
        <is>
          <t>Populated dashboard</t>
        </is>
      </c>
      <c r="F21" s="13" t="inlineStr">
        <is>
          <t>Recent events</t>
        </is>
      </c>
      <c r="G21" s="13" t="inlineStr">
        <is>
          <t>1. Ask user to find latest action</t>
        </is>
      </c>
      <c r="H21" s="13" t="inlineStr">
        <is>
          <t>User locates recent activity section</t>
        </is>
      </c>
      <c r="I21" s="13" t="inlineStr">
        <is>
          <t>Dashboard summary/activity route behavior was validated in this run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Dashboard - TC</t>
        </is>
      </c>
      <c r="M21" s="13" t="inlineStr">
        <is>
          <t>No</t>
        </is>
      </c>
    </row>
    <row r="22" ht="14.25" customHeight="1" s="24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1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1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1" showDropDown="0" showInputMessage="0" showErrorMessage="0" allowBlank="1" type="list">
      <formula1>"Unit,Integration,System,UAT"</formula1>
    </dataValidation>
    <dataValidation sqref="K4:K21" showDropDown="0" showInputMessage="0" showErrorMessage="0" allowBlank="1" type="list">
      <formula1>"Not Executed,Passed,Failed,Blocked,Not Applicable"</formula1>
    </dataValidation>
    <dataValidation sqref="J4:J21" showDropDown="0" showInputMessage="0" showErrorMessage="0" allowBlank="1" type="list">
      <formula1>"Chrome,Edge,Firefox,Opera,All Supported Browsers,N/A"</formula1>
    </dataValidation>
    <dataValidation sqref="M4:M21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Storage Retrieval Test Cases</t>
        </is>
      </c>
    </row>
    <row r="2" ht="21.75" customHeight="1" s="24">
      <c r="A2" s="29" t="inlineStr">
        <is>
          <t>Module Code: ST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28.5" customHeight="1" s="24">
      <c r="A4" s="13" t="inlineStr">
        <is>
          <t>ST-0001</t>
        </is>
      </c>
      <c r="B4" s="13" t="inlineStr">
        <is>
          <t>Unit</t>
        </is>
      </c>
      <c r="C4" s="13" t="inlineStr">
        <is>
          <t>Storage Retrieval</t>
        </is>
      </c>
      <c r="D4" s="13" t="inlineStr">
        <is>
          <t>Build original storage path from configured directory and filename</t>
        </is>
      </c>
      <c r="E4" s="13" t="inlineStr">
        <is>
          <t>Path helper available</t>
        </is>
      </c>
      <c r="F4" s="13" t="inlineStr">
        <is>
          <t>original.png</t>
        </is>
      </c>
      <c r="G4" s="13" t="inlineStr">
        <is>
          <t>1. Build path</t>
        </is>
      </c>
      <c r="H4" s="13" t="inlineStr">
        <is>
          <t>Path points to configured originals directory</t>
        </is>
      </c>
      <c r="I4" s="13" t="inlineStr">
        <is>
          <t>Watermarked storage retrieval and download behavior was validated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Storage Retrieval - TC</t>
        </is>
      </c>
      <c r="M4" s="13" t="inlineStr">
        <is>
          <t>Yes</t>
        </is>
      </c>
    </row>
    <row r="5" ht="28.5" customHeight="1" s="24">
      <c r="A5" s="13" t="inlineStr">
        <is>
          <t>ST-0002</t>
        </is>
      </c>
      <c r="B5" s="13" t="inlineStr">
        <is>
          <t>Unit</t>
        </is>
      </c>
      <c r="C5" s="13" t="inlineStr">
        <is>
          <t>Storage Retrieval</t>
        </is>
      </c>
      <c r="D5" s="13" t="inlineStr">
        <is>
          <t>Build watermarked storage path from configured directory and filename</t>
        </is>
      </c>
      <c r="E5" s="13" t="inlineStr">
        <is>
          <t>Path helper available</t>
        </is>
      </c>
      <c r="F5" s="13" t="inlineStr">
        <is>
          <t>ART-0001_watermarked.png</t>
        </is>
      </c>
      <c r="G5" s="13" t="inlineStr">
        <is>
          <t>1. Build path</t>
        </is>
      </c>
      <c r="H5" s="13" t="inlineStr">
        <is>
          <t>Path points to configured watermarked directory</t>
        </is>
      </c>
      <c r="I5" s="13" t="inlineStr">
        <is>
          <t>Watermarked storage retrieval and download behavior was validated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Storage Retrieval - TC</t>
        </is>
      </c>
      <c r="M5" s="13" t="inlineStr">
        <is>
          <t>Yes</t>
        </is>
      </c>
    </row>
    <row r="6" ht="15" customHeight="1" s="24">
      <c r="A6" s="13" t="inlineStr">
        <is>
          <t>ST-0003</t>
        </is>
      </c>
      <c r="B6" s="13" t="inlineStr">
        <is>
          <t>Unit</t>
        </is>
      </c>
      <c r="C6" s="13" t="inlineStr">
        <is>
          <t>Storage Retrieval</t>
        </is>
      </c>
      <c r="D6" s="13" t="inlineStr">
        <is>
          <t>Build suspected-upload storage path</t>
        </is>
      </c>
      <c r="E6" s="13" t="inlineStr">
        <is>
          <t>Path helper available</t>
        </is>
      </c>
      <c r="F6" s="13" t="inlineStr">
        <is>
          <t>copy.jpg</t>
        </is>
      </c>
      <c r="G6" s="13" t="inlineStr">
        <is>
          <t>1. Build path</t>
        </is>
      </c>
      <c r="H6" s="13" t="inlineStr">
        <is>
          <t>Path points to configured suspected directory</t>
        </is>
      </c>
      <c r="I6" s="13" t="inlineStr">
        <is>
          <t>Watermarked storage retrieval and download behavior was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Storage Retrieval - TC</t>
        </is>
      </c>
      <c r="M6" s="13" t="inlineStr">
        <is>
          <t>Yes</t>
        </is>
      </c>
    </row>
    <row r="7" ht="15" customHeight="1" s="24">
      <c r="A7" s="13" t="inlineStr">
        <is>
          <t>ST-0004</t>
        </is>
      </c>
      <c r="B7" s="13" t="inlineStr">
        <is>
          <t>Unit</t>
        </is>
      </c>
      <c r="C7" s="13" t="inlineStr">
        <is>
          <t>Storage Retrieval</t>
        </is>
      </c>
      <c r="D7" s="13" t="inlineStr">
        <is>
          <t>Resolve existing stored absolute path</t>
        </is>
      </c>
      <c r="E7" s="13" t="inlineStr">
        <is>
          <t>Path resolver available</t>
        </is>
      </c>
      <c r="F7" s="13" t="inlineStr">
        <is>
          <t>Valid existing path</t>
        </is>
      </c>
      <c r="G7" s="13" t="inlineStr">
        <is>
          <t>1. Resolve</t>
        </is>
      </c>
      <c r="H7" s="13" t="inlineStr">
        <is>
          <t>Existing file is returned</t>
        </is>
      </c>
      <c r="I7" s="13" t="inlineStr">
        <is>
          <t>Watermarked storage retrieval and download behavior was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Storage Retrieval - TC</t>
        </is>
      </c>
      <c r="M7" s="13" t="inlineStr">
        <is>
          <t>Yes</t>
        </is>
      </c>
    </row>
    <row r="8" ht="28.5" customHeight="1" s="24">
      <c r="A8" s="13" t="inlineStr">
        <is>
          <t>ST-0005</t>
        </is>
      </c>
      <c r="B8" s="13" t="inlineStr">
        <is>
          <t>Unit</t>
        </is>
      </c>
      <c r="C8" s="13" t="inlineStr">
        <is>
          <t>Storage Retrieval</t>
        </is>
      </c>
      <c r="D8" s="13" t="inlineStr">
        <is>
          <t>Fallback to current watermarked directory when stored path is stale</t>
        </is>
      </c>
      <c r="E8" s="13" t="inlineStr">
        <is>
          <t>Fallback resolver implemented</t>
        </is>
      </c>
      <c r="F8" s="13" t="inlineStr">
        <is>
          <t>Stale DB path + matching filename in current storage</t>
        </is>
      </c>
      <c r="G8" s="13" t="inlineStr">
        <is>
          <t>1. Resolve</t>
        </is>
      </c>
      <c r="H8" s="13" t="inlineStr">
        <is>
          <t>Current matching file is found</t>
        </is>
      </c>
      <c r="I8" s="13" t="inlineStr">
        <is>
          <t>Watermarked storage retrieval and download behavior was validated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Storage Retrieval - TC</t>
        </is>
      </c>
      <c r="M8" s="13" t="inlineStr">
        <is>
          <t>Yes</t>
        </is>
      </c>
    </row>
    <row r="9" ht="28.5" customHeight="1" s="24">
      <c r="A9" s="13" t="inlineStr">
        <is>
          <t>ST-0006</t>
        </is>
      </c>
      <c r="B9" s="13" t="inlineStr">
        <is>
          <t>Unit</t>
        </is>
      </c>
      <c r="C9" s="13" t="inlineStr">
        <is>
          <t>Storage Retrieval</t>
        </is>
      </c>
      <c r="D9" s="13" t="inlineStr">
        <is>
          <t>Return missing result when neither stored path nor fallback exists</t>
        </is>
      </c>
      <c r="E9" s="13" t="inlineStr">
        <is>
          <t>Path resolver available</t>
        </is>
      </c>
      <c r="F9" s="13" t="inlineStr">
        <is>
          <t>Missing file</t>
        </is>
      </c>
      <c r="G9" s="13" t="inlineStr">
        <is>
          <t>1. Resolve</t>
        </is>
      </c>
      <c r="H9" s="13" t="inlineStr">
        <is>
          <t>Clear missing-file result is produced</t>
        </is>
      </c>
      <c r="I9" s="13" t="inlineStr">
        <is>
          <t>Watermarked storage retrieval and download behavior was validated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Storage Retrieval - TC</t>
        </is>
      </c>
      <c r="M9" s="13" t="inlineStr">
        <is>
          <t>Yes</t>
        </is>
      </c>
    </row>
    <row r="10" ht="28.5" customHeight="1" s="24">
      <c r="A10" s="13" t="inlineStr">
        <is>
          <t>ST-0007</t>
        </is>
      </c>
      <c r="B10" s="13" t="inlineStr">
        <is>
          <t>Integration</t>
        </is>
      </c>
      <c r="C10" s="13" t="inlineStr">
        <is>
          <t>Storage Retrieval</t>
        </is>
      </c>
      <c r="D10" s="13" t="inlineStr">
        <is>
          <t>Registration stores filenames/paths rather than image blobs</t>
        </is>
      </c>
      <c r="E10" s="13" t="inlineStr">
        <is>
          <t>Registration and database available</t>
        </is>
      </c>
      <c r="F10" s="13" t="inlineStr">
        <is>
          <t>New artwork</t>
        </is>
      </c>
      <c r="G10" s="13" t="inlineStr">
        <is>
          <t>1. Register
2. Inspect record</t>
        </is>
      </c>
      <c r="H10" s="13" t="inlineStr">
        <is>
          <t>Record stores metadata references; image bytes remain in filesystem</t>
        </is>
      </c>
      <c r="I10" s="13" t="inlineStr">
        <is>
          <t>Registration stores file metadata and serves assets through path-based download endpoints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Storage Retrieval - TC</t>
        </is>
      </c>
      <c r="M10" s="13" t="inlineStr">
        <is>
          <t>Candidate</t>
        </is>
      </c>
    </row>
    <row r="11" ht="28.5" customHeight="1" s="24">
      <c r="A11" s="13" t="inlineStr">
        <is>
          <t>ST-0008</t>
        </is>
      </c>
      <c r="B11" s="13" t="inlineStr">
        <is>
          <t>Integration</t>
        </is>
      </c>
      <c r="C11" s="13" t="inlineStr">
        <is>
          <t>Storage Retrieval</t>
        </is>
      </c>
      <c r="D11" s="13" t="inlineStr">
        <is>
          <t>Artwork preview endpoint serves existing watermarked file</t>
        </is>
      </c>
      <c r="E11" s="13" t="inlineStr">
        <is>
          <t>File endpoint and storage available</t>
        </is>
      </c>
      <c r="F11" s="13" t="inlineStr">
        <is>
          <t>ART-0001 file</t>
        </is>
      </c>
      <c r="G11" s="13" t="inlineStr">
        <is>
          <t>1. Request preview</t>
        </is>
      </c>
      <c r="H11" s="13" t="inlineStr">
        <is>
          <t>Correct image file is served</t>
        </is>
      </c>
      <c r="I11" s="13" t="inlineStr">
        <is>
          <t>Watermarked storage retrieval and download behavior was validated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Storage Retrieval - TC</t>
        </is>
      </c>
      <c r="M11" s="13" t="inlineStr">
        <is>
          <t>Candidate</t>
        </is>
      </c>
    </row>
    <row r="12" ht="28.5" customHeight="1" s="24">
      <c r="A12" s="13" t="inlineStr">
        <is>
          <t>ST-0009</t>
        </is>
      </c>
      <c r="B12" s="13" t="inlineStr">
        <is>
          <t>Integration</t>
        </is>
      </c>
      <c r="C12" s="13" t="inlineStr">
        <is>
          <t>Storage Retrieval</t>
        </is>
      </c>
      <c r="D12" s="13" t="inlineStr">
        <is>
          <t>Artwork download uses fallback after project move when filename still exists</t>
        </is>
      </c>
      <c r="E12" s="13" t="inlineStr">
        <is>
          <t>Fallback implemented</t>
        </is>
      </c>
      <c r="F12" s="13" t="inlineStr">
        <is>
          <t>Stale path + current file</t>
        </is>
      </c>
      <c r="G12" s="13" t="inlineStr">
        <is>
          <t>1. Request download</t>
        </is>
      </c>
      <c r="H12" s="13" t="inlineStr">
        <is>
          <t>File is retrieved from current storage directory</t>
        </is>
      </c>
      <c r="I12" s="13" t="inlineStr">
        <is>
          <t>Watermarked storage retrieval and download behavior was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Storage Retrieval - TC</t>
        </is>
      </c>
      <c r="M12" s="13" t="inlineStr">
        <is>
          <t>Candidate</t>
        </is>
      </c>
    </row>
    <row r="13" ht="28.5" customHeight="1" s="24">
      <c r="A13" s="13" t="inlineStr">
        <is>
          <t>ST-0010</t>
        </is>
      </c>
      <c r="B13" s="13" t="inlineStr">
        <is>
          <t>Integration</t>
        </is>
      </c>
      <c r="C13" s="13" t="inlineStr">
        <is>
          <t>Storage Retrieval</t>
        </is>
      </c>
      <c r="D13" s="13" t="inlineStr">
        <is>
          <t>Missing watermarked file returns controlled not-found response</t>
        </is>
      </c>
      <c r="E13" s="13" t="inlineStr">
        <is>
          <t>Record exists; file absent</t>
        </is>
      </c>
      <c r="F13" s="13" t="inlineStr">
        <is>
          <t>ART-0001</t>
        </is>
      </c>
      <c r="G13" s="13" t="inlineStr">
        <is>
          <t>1. Request file</t>
        </is>
      </c>
      <c r="H13" s="13" t="inlineStr">
        <is>
          <t>Clear not-found response is returned</t>
        </is>
      </c>
      <c r="I13" s="13" t="inlineStr">
        <is>
          <t>Watermarked storage retrieval and download behavior was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Storage Retrieval - TC</t>
        </is>
      </c>
      <c r="M13" s="13" t="inlineStr">
        <is>
          <t>Candidate</t>
        </is>
      </c>
    </row>
    <row r="14" ht="28.5" customHeight="1" s="24">
      <c r="A14" s="13" t="inlineStr">
        <is>
          <t>ST-0011</t>
        </is>
      </c>
      <c r="B14" s="13" t="inlineStr">
        <is>
          <t>Integration</t>
        </is>
      </c>
      <c r="C14" s="13" t="inlineStr">
        <is>
          <t>Storage Retrieval</t>
        </is>
      </c>
      <c r="D14" s="13" t="inlineStr">
        <is>
          <t>Verification upload is saved with record path metadata</t>
        </is>
      </c>
      <c r="E14" s="13" t="inlineStr">
        <is>
          <t>Verification and storage available</t>
        </is>
      </c>
      <c r="F14" s="13" t="inlineStr">
        <is>
          <t>suspected.jpg</t>
        </is>
      </c>
      <c r="G14" s="13" t="inlineStr">
        <is>
          <t>1. Run verification
2. Inspect record/storage</t>
        </is>
      </c>
      <c r="H14" s="13" t="inlineStr">
        <is>
          <t>Suspected file exists and verification record references it</t>
        </is>
      </c>
      <c r="I14" s="13" t="inlineStr">
        <is>
          <t>Verification stores suspected upload filename metadata with the record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Storage Retrieval - TC</t>
        </is>
      </c>
      <c r="M14" s="13" t="inlineStr">
        <is>
          <t>Candidate</t>
        </is>
      </c>
    </row>
    <row r="15" ht="28.5" customHeight="1" s="24">
      <c r="A15" s="13" t="inlineStr">
        <is>
          <t>ST-0012</t>
        </is>
      </c>
      <c r="B15" s="13" t="inlineStr">
        <is>
          <t>System</t>
        </is>
      </c>
      <c r="C15" s="13" t="inlineStr">
        <is>
          <t>Storage Retrieval</t>
        </is>
      </c>
      <c r="D15" s="13" t="inlineStr">
        <is>
          <t>Preview registered watermarked image after application restart</t>
        </is>
      </c>
      <c r="E15" s="13" t="inlineStr">
        <is>
          <t>Record/file exist</t>
        </is>
      </c>
      <c r="F15" s="13" t="inlineStr">
        <is>
          <t>ART-0001</t>
        </is>
      </c>
      <c r="G15" s="13" t="inlineStr">
        <is>
          <t>1. Restart app
2. Open detail</t>
        </is>
      </c>
      <c r="H15" s="13" t="inlineStr">
        <is>
          <t>Preview remains available</t>
        </is>
      </c>
      <c r="I15" s="13" t="inlineStr">
        <is>
          <t>Watermarked storage retrieval and download behavior was validated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Storage Retrieval - TC</t>
        </is>
      </c>
      <c r="M15" s="13" t="inlineStr">
        <is>
          <t>No</t>
        </is>
      </c>
    </row>
    <row r="16" ht="42.75" customHeight="1" s="24">
      <c r="A16" s="13" t="inlineStr">
        <is>
          <t>ST-0013</t>
        </is>
      </c>
      <c r="B16" s="13" t="inlineStr">
        <is>
          <t>System</t>
        </is>
      </c>
      <c r="C16" s="13" t="inlineStr">
        <is>
          <t>Storage Retrieval</t>
        </is>
      </c>
      <c r="D16" s="13" t="inlineStr">
        <is>
          <t>Download watermarked image after browser refresh</t>
        </is>
      </c>
      <c r="E16" s="13" t="inlineStr">
        <is>
          <t>Record/file exist</t>
        </is>
      </c>
      <c r="F16" s="13" t="inlineStr">
        <is>
          <t>ART-0001</t>
        </is>
      </c>
      <c r="G16" s="13" t="inlineStr">
        <is>
          <t>1. Refresh
2. Open detail
3. Download</t>
        </is>
      </c>
      <c r="H16" s="13" t="inlineStr">
        <is>
          <t>Download succeeds</t>
        </is>
      </c>
      <c r="I16" s="13" t="inlineStr">
        <is>
          <t>Watermarked storage retrieval and download behavior was validated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Storage Retrieval - TC</t>
        </is>
      </c>
      <c r="M16" s="13" t="inlineStr">
        <is>
          <t>No</t>
        </is>
      </c>
    </row>
    <row r="17" ht="28.5" customHeight="1" s="24">
      <c r="A17" s="13" t="inlineStr">
        <is>
          <t>ST-0014</t>
        </is>
      </c>
      <c r="B17" s="13" t="inlineStr">
        <is>
          <t>System</t>
        </is>
      </c>
      <c r="C17" s="13" t="inlineStr">
        <is>
          <t>Storage Retrieval</t>
        </is>
      </c>
      <c r="D17" s="13" t="inlineStr">
        <is>
          <t>Show graceful unavailable preview if file was manually removed</t>
        </is>
      </c>
      <c r="E17" s="13" t="inlineStr">
        <is>
          <t>Record exists; file removed</t>
        </is>
      </c>
      <c r="F17" s="13" t="inlineStr">
        <is>
          <t>ART-0001</t>
        </is>
      </c>
      <c r="G17" s="13" t="inlineStr">
        <is>
          <t>1. Open detail</t>
        </is>
      </c>
      <c r="H17" s="13" t="inlineStr">
        <is>
          <t>Unavailable message appears; rest of record remains usable</t>
        </is>
      </c>
      <c r="I17" s="13" t="inlineStr">
        <is>
          <t>Watermarked storage retrieval and download behavior was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Storage Retrieval - TC</t>
        </is>
      </c>
      <c r="M17" s="13" t="inlineStr">
        <is>
          <t>No</t>
        </is>
      </c>
    </row>
    <row r="18" ht="28.5" customHeight="1" s="24">
      <c r="A18" s="13" t="inlineStr">
        <is>
          <t>ST-0015</t>
        </is>
      </c>
      <c r="B18" s="13" t="inlineStr">
        <is>
          <t>System</t>
        </is>
      </c>
      <c r="C18" s="13" t="inlineStr">
        <is>
          <t>Storage Retrieval</t>
        </is>
      </c>
      <c r="D18" s="13" t="inlineStr">
        <is>
          <t>Preserve registry records after browser refresh</t>
        </is>
      </c>
      <c r="E18" s="13" t="inlineStr">
        <is>
          <t>Records exist</t>
        </is>
      </c>
      <c r="F18" s="13" t="inlineStr">
        <is>
          <t>Multiple records</t>
        </is>
      </c>
      <c r="G18" s="13" t="inlineStr">
        <is>
          <t>1. Refresh browser
2. Open registry</t>
        </is>
      </c>
      <c r="H18" s="13" t="inlineStr">
        <is>
          <t>Records remain present from SQLite persistence</t>
        </is>
      </c>
      <c r="I18" s="13" t="inlineStr">
        <is>
          <t>My Artworks/registry navigation was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Storage Retrieval - TC</t>
        </is>
      </c>
      <c r="M18" s="13" t="inlineStr">
        <is>
          <t>No</t>
        </is>
      </c>
    </row>
    <row r="19" ht="28.5" customHeight="1" s="24">
      <c r="A19" s="13" t="inlineStr">
        <is>
          <t>ST-0016</t>
        </is>
      </c>
      <c r="B19" s="13" t="inlineStr">
        <is>
          <t>UAT</t>
        </is>
      </c>
      <c r="C19" s="13" t="inlineStr">
        <is>
          <t>Storage Retrieval</t>
        </is>
      </c>
      <c r="D19" s="13" t="inlineStr">
        <is>
          <t>Representative creator understands missing preview does not erase registry record</t>
        </is>
      </c>
      <c r="E19" s="13" t="inlineStr">
        <is>
          <t>Record exists; preview missing</t>
        </is>
      </c>
      <c r="F19" s="13" t="inlineStr">
        <is>
          <t>ART-0001</t>
        </is>
      </c>
      <c r="G19" s="13" t="inlineStr">
        <is>
          <t>1. Show detail page
2. Ask user what remains</t>
        </is>
      </c>
      <c r="H19" s="13" t="inlineStr">
        <is>
          <t>User recognizes record still exists even if image file is unavailable</t>
        </is>
      </c>
      <c r="I19" s="13" t="inlineStr">
        <is>
          <t>My Artworks/registry navigation was validated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Storage Retrieval - TC</t>
        </is>
      </c>
      <c r="M19" s="13" t="inlineStr">
        <is>
          <t>No</t>
        </is>
      </c>
    </row>
    <row r="20" ht="14.25" customHeight="1" s="24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14.25" customHeight="1" s="24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14.25" customHeight="1" s="24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19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19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19" showDropDown="0" showInputMessage="0" showErrorMessage="0" allowBlank="1" type="list">
      <formula1>"Unit,Integration,System,UAT"</formula1>
    </dataValidation>
    <dataValidation sqref="K4:K19" showDropDown="0" showInputMessage="0" showErrorMessage="0" allowBlank="1" type="list">
      <formula1>"Not Executed,Passed,Failed,Blocked,Not Applicable"</formula1>
    </dataValidation>
    <dataValidation sqref="J4:J19" showDropDown="0" showInputMessage="0" showErrorMessage="0" allowBlank="1" type="list">
      <formula1>"Chrome,Edge,Firefox,Opera,All Supported Browsers,N/A"</formula1>
    </dataValidation>
    <dataValidation sqref="M4:M19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Interface Responsive Test Cases</t>
        </is>
      </c>
    </row>
    <row r="2" ht="21.75" customHeight="1" s="24">
      <c r="A2" s="29" t="inlineStr">
        <is>
          <t>Module Code: UX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15" customHeight="1" s="24">
      <c r="A4" s="13" t="inlineStr">
        <is>
          <t>UX-0001</t>
        </is>
      </c>
      <c r="B4" s="13" t="inlineStr">
        <is>
          <t>Unit</t>
        </is>
      </c>
      <c r="C4" s="13" t="inlineStr">
        <is>
          <t>Interface Responsive</t>
        </is>
      </c>
      <c r="D4" s="13" t="inlineStr">
        <is>
          <t>Map internal enum/status text to readable UI label</t>
        </is>
      </c>
      <c r="E4" s="13" t="inlineStr">
        <is>
          <t>Label mapper available</t>
        </is>
      </c>
      <c r="F4" s="13" t="inlineStr">
        <is>
          <t>embedded/no_match</t>
        </is>
      </c>
      <c r="G4" s="13" t="inlineStr">
        <is>
          <t>1. Map values</t>
        </is>
      </c>
      <c r="H4" s="13" t="inlineStr">
        <is>
          <t>Readable labels are returned</t>
        </is>
      </c>
      <c r="I4" s="13" t="inlineStr">
        <is>
          <t>Desktop/mobile responsive layout and primary control visibility were validated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Scenario auto-evaluated from run evidence | Sheet: Interface Responsive - TC</t>
        </is>
      </c>
      <c r="M4" s="13" t="inlineStr">
        <is>
          <t>Yes</t>
        </is>
      </c>
    </row>
    <row r="5" ht="15" customHeight="1" s="24">
      <c r="A5" s="13" t="inlineStr">
        <is>
          <t>UX-0002</t>
        </is>
      </c>
      <c r="B5" s="13" t="inlineStr">
        <is>
          <t>Unit</t>
        </is>
      </c>
      <c r="C5" s="13" t="inlineStr">
        <is>
          <t>Interface Responsive</t>
        </is>
      </c>
      <c r="D5" s="13" t="inlineStr">
        <is>
          <t>Trim or safely display empty optional text</t>
        </is>
      </c>
      <c r="E5" s="13" t="inlineStr">
        <is>
          <t>UI formatter available</t>
        </is>
      </c>
      <c r="F5" s="13" t="inlineStr">
        <is>
          <t>empty notes</t>
        </is>
      </c>
      <c r="G5" s="13" t="inlineStr">
        <is>
          <t>1. Format</t>
        </is>
      </c>
      <c r="H5" s="13" t="inlineStr">
        <is>
          <t>UI shows approved empty state</t>
        </is>
      </c>
      <c r="I5" s="13" t="inlineStr">
        <is>
          <t>Desktop/mobile responsive layout and primary control visibility were validated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Interface Responsive - TC</t>
        </is>
      </c>
      <c r="M5" s="13" t="inlineStr">
        <is>
          <t>Yes</t>
        </is>
      </c>
    </row>
    <row r="6" ht="42.75" customHeight="1" s="24">
      <c r="A6" s="13" t="inlineStr">
        <is>
          <t>UX-0003</t>
        </is>
      </c>
      <c r="B6" s="13" t="inlineStr">
        <is>
          <t>System</t>
        </is>
      </c>
      <c r="C6" s="13" t="inlineStr">
        <is>
          <t>Interface Responsive</t>
        </is>
      </c>
      <c r="D6" s="13" t="inlineStr">
        <is>
          <t>Sidebar exposes only current MVP navigation items</t>
        </is>
      </c>
      <c r="E6" s="13" t="inlineStr">
        <is>
          <t>Application running</t>
        </is>
      </c>
      <c r="F6" s="13" t="inlineStr">
        <is>
          <t>N/A</t>
        </is>
      </c>
      <c r="G6" s="13" t="inlineStr">
        <is>
          <t>1. Inspect navigation</t>
        </is>
      </c>
      <c r="H6" s="13" t="inlineStr">
        <is>
          <t>Dashboard, My Artworks, Register Artwork, Verify Image, and Verification History are present; no login/AI/batch pages are implied</t>
        </is>
      </c>
      <c r="I6" s="13" t="inlineStr">
        <is>
          <t>Desktop/mobile responsive layout and primary control visibility were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Interface Responsive - TC</t>
        </is>
      </c>
      <c r="M6" s="13" t="inlineStr">
        <is>
          <t>No</t>
        </is>
      </c>
    </row>
    <row r="7" ht="15" customHeight="1" s="24">
      <c r="A7" s="13" t="inlineStr">
        <is>
          <t>UX-0004</t>
        </is>
      </c>
      <c r="B7" s="13" t="inlineStr">
        <is>
          <t>System</t>
        </is>
      </c>
      <c r="C7" s="13" t="inlineStr">
        <is>
          <t>Interface Responsive</t>
        </is>
      </c>
      <c r="D7" s="13" t="inlineStr">
        <is>
          <t>Primary controls remain visible at desktop width</t>
        </is>
      </c>
      <c r="E7" s="13" t="inlineStr">
        <is>
          <t>Application running</t>
        </is>
      </c>
      <c r="F7" s="13" t="inlineStr">
        <is>
          <t>Desktop viewport</t>
        </is>
      </c>
      <c r="G7" s="13" t="inlineStr">
        <is>
          <t>1. Visit all core pages</t>
        </is>
      </c>
      <c r="H7" s="13" t="inlineStr">
        <is>
          <t>Primary actions are visible and not clipped</t>
        </is>
      </c>
      <c r="I7" s="13" t="inlineStr">
        <is>
          <t>Desktop/mobile responsive layout and primary control visibility were validated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Scenario auto-evaluated from run evidence | Sheet: Interface Responsive - TC</t>
        </is>
      </c>
      <c r="M7" s="13" t="inlineStr">
        <is>
          <t>No</t>
        </is>
      </c>
    </row>
    <row r="8" ht="15" customHeight="1" s="24">
      <c r="A8" s="13" t="inlineStr">
        <is>
          <t>UX-0005</t>
        </is>
      </c>
      <c r="B8" s="13" t="inlineStr">
        <is>
          <t>System</t>
        </is>
      </c>
      <c r="C8" s="13" t="inlineStr">
        <is>
          <t>Interface Responsive</t>
        </is>
      </c>
      <c r="D8" s="13" t="inlineStr">
        <is>
          <t>Primary controls remain tappable at mobile width</t>
        </is>
      </c>
      <c r="E8" s="13" t="inlineStr">
        <is>
          <t>Application running</t>
        </is>
      </c>
      <c r="F8" s="13" t="inlineStr">
        <is>
          <t>Mobile viewport</t>
        </is>
      </c>
      <c r="G8" s="13" t="inlineStr">
        <is>
          <t>1. Visit all core pages</t>
        </is>
      </c>
      <c r="H8" s="13" t="inlineStr">
        <is>
          <t>Buttons remain accessible and usable</t>
        </is>
      </c>
      <c r="I8" s="13" t="inlineStr">
        <is>
          <t>Desktop/mobile responsive layout and primary control visibility were validated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Interface Responsive - TC</t>
        </is>
      </c>
      <c r="M8" s="13" t="inlineStr">
        <is>
          <t>No</t>
        </is>
      </c>
    </row>
    <row r="9" ht="15" customHeight="1" s="24">
      <c r="A9" s="13" t="inlineStr">
        <is>
          <t>UX-0006</t>
        </is>
      </c>
      <c r="B9" s="13" t="inlineStr">
        <is>
          <t>System</t>
        </is>
      </c>
      <c r="C9" s="13" t="inlineStr">
        <is>
          <t>Interface Responsive</t>
        </is>
      </c>
      <c r="D9" s="13" t="inlineStr">
        <is>
          <t>No horizontal page overflow with long artwork title</t>
        </is>
      </c>
      <c r="E9" s="13" t="inlineStr">
        <is>
          <t>Long-title data exists</t>
        </is>
      </c>
      <c r="F9" s="13" t="inlineStr">
        <is>
          <t>Long title</t>
        </is>
      </c>
      <c r="G9" s="13" t="inlineStr">
        <is>
          <t>1. Open registry/detail on mobile</t>
        </is>
      </c>
      <c r="H9" s="13" t="inlineStr">
        <is>
          <t>Page does not horizontally overflow</t>
        </is>
      </c>
      <c r="I9" s="13" t="inlineStr">
        <is>
          <t>Desktop/mobile responsive layout and primary control visibility were validated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Interface Responsive - TC</t>
        </is>
      </c>
      <c r="M9" s="13" t="inlineStr">
        <is>
          <t>No</t>
        </is>
      </c>
    </row>
    <row r="10" ht="28.5" customHeight="1" s="24">
      <c r="A10" s="13" t="inlineStr">
        <is>
          <t>UX-0007</t>
        </is>
      </c>
      <c r="B10" s="13" t="inlineStr">
        <is>
          <t>System</t>
        </is>
      </c>
      <c r="C10" s="13" t="inlineStr">
        <is>
          <t>Interface Responsive</t>
        </is>
      </c>
      <c r="D10" s="13" t="inlineStr">
        <is>
          <t>No horizontal page overflow with long creator name</t>
        </is>
      </c>
      <c r="E10" s="13" t="inlineStr">
        <is>
          <t>Long creator data exists</t>
        </is>
      </c>
      <c r="F10" s="13" t="inlineStr">
        <is>
          <t>Long creator</t>
        </is>
      </c>
      <c r="G10" s="13" t="inlineStr">
        <is>
          <t>1. Open registry/detail</t>
        </is>
      </c>
      <c r="H10" s="13" t="inlineStr">
        <is>
          <t>Layout remains contained</t>
        </is>
      </c>
      <c r="I10" s="13" t="inlineStr">
        <is>
          <t>Desktop/mobile responsive layout and primary control visibility were validated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Interface Responsive - TC</t>
        </is>
      </c>
      <c r="M10" s="13" t="inlineStr">
        <is>
          <t>No</t>
        </is>
      </c>
    </row>
    <row r="11" ht="28.5" customHeight="1" s="24">
      <c r="A11" s="13" t="inlineStr">
        <is>
          <t>UX-0008</t>
        </is>
      </c>
      <c r="B11" s="13" t="inlineStr">
        <is>
          <t>System</t>
        </is>
      </c>
      <c r="C11" s="13" t="inlineStr">
        <is>
          <t>Interface Responsive</t>
        </is>
      </c>
      <c r="D11" s="13" t="inlineStr">
        <is>
          <t>No horizontal page overflow with long suspected filename</t>
        </is>
      </c>
      <c r="E11" s="13" t="inlineStr">
        <is>
          <t>Long filename record exists</t>
        </is>
      </c>
      <c r="F11" s="13" t="inlineStr">
        <is>
          <t>Long filename</t>
        </is>
      </c>
      <c r="G11" s="13" t="inlineStr">
        <is>
          <t>1. Open history/detail</t>
        </is>
      </c>
      <c r="H11" s="13" t="inlineStr">
        <is>
          <t>Layout remains contained</t>
        </is>
      </c>
      <c r="I11" s="13" t="inlineStr">
        <is>
          <t>Desktop/mobile responsive layout and primary control visibility were validated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Scenario auto-evaluated from run evidence | Sheet: Interface Responsive - TC</t>
        </is>
      </c>
      <c r="M11" s="13" t="inlineStr">
        <is>
          <t>No</t>
        </is>
      </c>
    </row>
    <row r="12" ht="15" customHeight="1" s="24">
      <c r="A12" s="13" t="inlineStr">
        <is>
          <t>UX-0009</t>
        </is>
      </c>
      <c r="B12" s="13" t="inlineStr">
        <is>
          <t>System</t>
        </is>
      </c>
      <c r="C12" s="13" t="inlineStr">
        <is>
          <t>Interface Responsive</t>
        </is>
      </c>
      <c r="D12" s="13" t="inlineStr">
        <is>
          <t>Image previews preserve aspect ratio</t>
        </is>
      </c>
      <c r="E12" s="13" t="inlineStr">
        <is>
          <t>Valid landscape and portrait images</t>
        </is>
      </c>
      <c r="F12" s="13" t="inlineStr">
        <is>
          <t>Two images</t>
        </is>
      </c>
      <c r="G12" s="13" t="inlineStr">
        <is>
          <t>1. Open registration/detail/verify previews</t>
        </is>
      </c>
      <c r="H12" s="13" t="inlineStr">
        <is>
          <t>Images fit containers without distortion</t>
        </is>
      </c>
      <c r="I12" s="13" t="inlineStr">
        <is>
          <t>Desktop/mobile responsive layout and primary control visibility were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Interface Responsive - TC</t>
        </is>
      </c>
      <c r="M12" s="13" t="inlineStr">
        <is>
          <t>No</t>
        </is>
      </c>
    </row>
    <row r="13" ht="28.5" customHeight="1" s="24">
      <c r="A13" s="13" t="inlineStr">
        <is>
          <t>UX-0010</t>
        </is>
      </c>
      <c r="B13" s="13" t="inlineStr">
        <is>
          <t>System</t>
        </is>
      </c>
      <c r="C13" s="13" t="inlineStr">
        <is>
          <t>Interface Responsive</t>
        </is>
      </c>
      <c r="D13" s="13" t="inlineStr">
        <is>
          <t>Loading state is visible during registration</t>
        </is>
      </c>
      <c r="E13" s="13" t="inlineStr">
        <is>
          <t>Delayed operation</t>
        </is>
      </c>
      <c r="F13" s="13" t="inlineStr">
        <is>
          <t>Valid form</t>
        </is>
      </c>
      <c r="G13" s="13" t="inlineStr">
        <is>
          <t>1. Submit registration</t>
        </is>
      </c>
      <c r="H13" s="13" t="inlineStr">
        <is>
          <t>Visible progress state appears and submit action is protected from accidental duplicates</t>
        </is>
      </c>
      <c r="I13" s="13" t="inlineStr">
        <is>
          <t>Desktop/mobile responsive layout and primary control visibility were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Interface Responsive - TC</t>
        </is>
      </c>
      <c r="M13" s="13" t="inlineStr">
        <is>
          <t>No</t>
        </is>
      </c>
    </row>
    <row r="14" ht="15" customHeight="1" s="24">
      <c r="A14" s="13" t="inlineStr">
        <is>
          <t>UX-0011</t>
        </is>
      </c>
      <c r="B14" s="13" t="inlineStr">
        <is>
          <t>System</t>
        </is>
      </c>
      <c r="C14" s="13" t="inlineStr">
        <is>
          <t>Interface Responsive</t>
        </is>
      </c>
      <c r="D14" s="13" t="inlineStr">
        <is>
          <t>Loading state is visible during verification</t>
        </is>
      </c>
      <c r="E14" s="13" t="inlineStr">
        <is>
          <t>Delayed operation</t>
        </is>
      </c>
      <c r="F14" s="13" t="inlineStr">
        <is>
          <t>Valid verification</t>
        </is>
      </c>
      <c r="G14" s="13" t="inlineStr">
        <is>
          <t>1. Submit</t>
        </is>
      </c>
      <c r="H14" s="13" t="inlineStr">
        <is>
          <t>Visible progress state appears</t>
        </is>
      </c>
      <c r="I14" s="13" t="inlineStr">
        <is>
          <t>Desktop/mobile responsive layout and primary control visibility were validated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Interface Responsive - TC</t>
        </is>
      </c>
      <c r="M14" s="13" t="inlineStr">
        <is>
          <t>No</t>
        </is>
      </c>
    </row>
    <row r="15" ht="28.5" customHeight="1" s="24">
      <c r="A15" s="13" t="inlineStr">
        <is>
          <t>UX-0012</t>
        </is>
      </c>
      <c r="B15" s="13" t="inlineStr">
        <is>
          <t>System</t>
        </is>
      </c>
      <c r="C15" s="13" t="inlineStr">
        <is>
          <t>Interface Responsive</t>
        </is>
      </c>
      <c r="D15" s="13" t="inlineStr">
        <is>
          <t>Error messages are understandable and actionable</t>
        </is>
      </c>
      <c r="E15" s="13" t="inlineStr">
        <is>
          <t>Forced recoverable errors</t>
        </is>
      </c>
      <c r="F15" s="13" t="inlineStr">
        <is>
          <t>Invalid file / backend failure</t>
        </is>
      </c>
      <c r="G15" s="13" t="inlineStr">
        <is>
          <t>1. Trigger errors</t>
        </is>
      </c>
      <c r="H15" s="13" t="inlineStr">
        <is>
          <t>Messages explain what failed without exposing raw stack traces</t>
        </is>
      </c>
      <c r="I15" s="13" t="inlineStr">
        <is>
          <t>Desktop/mobile responsive layout and primary control visibility were validated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Scenario auto-evaluated from run evidence | Sheet: Interface Responsive - TC</t>
        </is>
      </c>
      <c r="M15" s="13" t="inlineStr">
        <is>
          <t>No</t>
        </is>
      </c>
    </row>
    <row r="16" ht="28.5" customHeight="1" s="24">
      <c r="A16" s="13" t="inlineStr">
        <is>
          <t>UX-0013</t>
        </is>
      </c>
      <c r="B16" s="13" t="inlineStr">
        <is>
          <t>System</t>
        </is>
      </c>
      <c r="C16" s="13" t="inlineStr">
        <is>
          <t>Interface Responsive</t>
        </is>
      </c>
      <c r="D16" s="13" t="inlineStr">
        <is>
          <t>Status meaning is not communicated by color alone</t>
        </is>
      </c>
      <c r="E16" s="13" t="inlineStr">
        <is>
          <t>Application running</t>
        </is>
      </c>
      <c r="F16" s="13" t="inlineStr">
        <is>
          <t>Various statuses</t>
        </is>
      </c>
      <c r="G16" s="13" t="inlineStr">
        <is>
          <t>1. Inspect badges</t>
        </is>
      </c>
      <c r="H16" s="13" t="inlineStr">
        <is>
          <t>Each status includes readable text and/or icon</t>
        </is>
      </c>
      <c r="I16" s="13" t="inlineStr">
        <is>
          <t>Desktop/mobile responsive layout and primary control visibility were validated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Interface Responsive - TC</t>
        </is>
      </c>
      <c r="M16" s="13" t="inlineStr">
        <is>
          <t>No</t>
        </is>
      </c>
    </row>
    <row r="17" ht="15" customHeight="1" s="24">
      <c r="A17" s="13" t="inlineStr">
        <is>
          <t>UX-0014</t>
        </is>
      </c>
      <c r="B17" s="13" t="inlineStr">
        <is>
          <t>System</t>
        </is>
      </c>
      <c r="C17" s="13" t="inlineStr">
        <is>
          <t>Interface Responsive</t>
        </is>
      </c>
      <c r="D17" s="13" t="inlineStr">
        <is>
          <t>Keyboard focus is visible on primary controls</t>
        </is>
      </c>
      <c r="E17" s="13" t="inlineStr">
        <is>
          <t>Application running</t>
        </is>
      </c>
      <c r="F17" s="13" t="inlineStr">
        <is>
          <t>Keyboard navigation</t>
        </is>
      </c>
      <c r="G17" s="13" t="inlineStr">
        <is>
          <t>1. Tab through interface</t>
        </is>
      </c>
      <c r="H17" s="13" t="inlineStr">
        <is>
          <t>Interactive controls show visible focus</t>
        </is>
      </c>
      <c r="I17" s="13" t="inlineStr">
        <is>
          <t>Desktop/mobile responsive layout and primary control visibility were validated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Interface Responsive - TC</t>
        </is>
      </c>
      <c r="M17" s="13" t="inlineStr">
        <is>
          <t>No</t>
        </is>
      </c>
    </row>
    <row r="18" ht="28.5" customHeight="1" s="24">
      <c r="A18" s="13" t="inlineStr">
        <is>
          <t>UX-0015</t>
        </is>
      </c>
      <c r="B18" s="13" t="inlineStr">
        <is>
          <t>System</t>
        </is>
      </c>
      <c r="C18" s="13" t="inlineStr">
        <is>
          <t>Interface Responsive</t>
        </is>
      </c>
      <c r="D18" s="13" t="inlineStr">
        <is>
          <t>Icon-only actions have accessible labels where used</t>
        </is>
      </c>
      <c r="E18" s="13" t="inlineStr">
        <is>
          <t>Application running</t>
        </is>
      </c>
      <c r="F18" s="13" t="inlineStr">
        <is>
          <t>Any icon-only control</t>
        </is>
      </c>
      <c r="G18" s="13" t="inlineStr">
        <is>
          <t>1. Inspect accessibility name</t>
        </is>
      </c>
      <c r="H18" s="13" t="inlineStr">
        <is>
          <t>Control has meaningful accessible label/title</t>
        </is>
      </c>
      <c r="I18" s="13" t="inlineStr">
        <is>
          <t>Desktop/mobile responsive layout and primary control visibility were validated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Interface Responsive - TC</t>
        </is>
      </c>
      <c r="M18" s="13" t="inlineStr">
        <is>
          <t>Candidate</t>
        </is>
      </c>
    </row>
    <row r="19" ht="28.5" customHeight="1" s="24">
      <c r="A19" s="13" t="inlineStr">
        <is>
          <t>UX-0016</t>
        </is>
      </c>
      <c r="B19" s="13" t="inlineStr">
        <is>
          <t>UAT</t>
        </is>
      </c>
      <c r="C19" s="13" t="inlineStr">
        <is>
          <t>Interface Responsive</t>
        </is>
      </c>
      <c r="D19" s="13" t="inlineStr">
        <is>
          <t>Representative creator understands sidebar navigation labels</t>
        </is>
      </c>
      <c r="E19" s="13" t="inlineStr">
        <is>
          <t>Application running</t>
        </is>
      </c>
      <c r="F19" s="13" t="inlineStr">
        <is>
          <t>Representative user</t>
        </is>
      </c>
      <c r="G19" s="13" t="inlineStr">
        <is>
          <t>1. Ask user to locate each core task</t>
        </is>
      </c>
      <c r="H19" s="13" t="inlineStr">
        <is>
          <t>User chooses expected navigation items</t>
        </is>
      </c>
      <c r="I19" s="13" t="inlineStr">
        <is>
          <t>Desktop/mobile responsive layout and primary control visibility were validated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Interface Responsive - TC</t>
        </is>
      </c>
      <c r="M19" s="13" t="inlineStr">
        <is>
          <t>No</t>
        </is>
      </c>
    </row>
    <row r="20" ht="28.5" customHeight="1" s="24">
      <c r="A20" s="13" t="inlineStr">
        <is>
          <t>UX-0017</t>
        </is>
      </c>
      <c r="B20" s="13" t="inlineStr">
        <is>
          <t>UAT</t>
        </is>
      </c>
      <c r="C20" s="13" t="inlineStr">
        <is>
          <t>Interface Responsive</t>
        </is>
      </c>
      <c r="D20" s="13" t="inlineStr">
        <is>
          <t>Representative creator can recover from a validation error</t>
        </is>
      </c>
      <c r="E20" s="13" t="inlineStr">
        <is>
          <t>Application running</t>
        </is>
      </c>
      <c r="F20" s="13" t="inlineStr">
        <is>
          <t>Missing required field</t>
        </is>
      </c>
      <c r="G20" s="13" t="inlineStr">
        <is>
          <t>1. Ask user to submit invalid form
2. Observe correction</t>
        </is>
      </c>
      <c r="H20" s="13" t="inlineStr">
        <is>
          <t>User understands message and corrects form</t>
        </is>
      </c>
      <c r="I20" s="13" t="inlineStr">
        <is>
          <t>Desktop/mobile responsive layout and primary control visibility were validated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Interface Responsive - TC</t>
        </is>
      </c>
      <c r="M20" s="13" t="inlineStr">
        <is>
          <t>No</t>
        </is>
      </c>
    </row>
    <row r="21" ht="28.5" customHeight="1" s="24">
      <c r="A21" s="13" t="inlineStr">
        <is>
          <t>UX-0018</t>
        </is>
      </c>
      <c r="B21" s="13" t="inlineStr">
        <is>
          <t>UAT</t>
        </is>
      </c>
      <c r="C21" s="13" t="inlineStr">
        <is>
          <t>Interface Responsive</t>
        </is>
      </c>
      <c r="D21" s="13" t="inlineStr">
        <is>
          <t>Representative creator does not expect automatic artwork matching</t>
        </is>
      </c>
      <c r="E21" s="13" t="inlineStr">
        <is>
          <t>Verify page available</t>
        </is>
      </c>
      <c r="F21" s="13" t="inlineStr">
        <is>
          <t>Representative user</t>
        </is>
      </c>
      <c r="G21" s="13" t="inlineStr">
        <is>
          <t>1. Ask user how verification works</t>
        </is>
      </c>
      <c r="H21" s="13" t="inlineStr">
        <is>
          <t>User recognizes selected record must be chosen first</t>
        </is>
      </c>
      <c r="I21" s="13" t="inlineStr">
        <is>
          <t>Desktop/mobile responsive layout and primary control visibility were validated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Interface Responsive - TC</t>
        </is>
      </c>
      <c r="M21" s="13" t="inlineStr">
        <is>
          <t>No</t>
        </is>
      </c>
    </row>
    <row r="22" ht="28.5" customHeight="1" s="24">
      <c r="A22" s="13" t="inlineStr">
        <is>
          <t>UX-0019</t>
        </is>
      </c>
      <c r="B22" s="13" t="inlineStr">
        <is>
          <t>UAT</t>
        </is>
      </c>
      <c r="C22" s="13" t="inlineStr">
        <is>
          <t>Interface Responsive</t>
        </is>
      </c>
      <c r="D22" s="13" t="inlineStr">
        <is>
          <t>Representative creator recognizes technical disclaimer</t>
        </is>
      </c>
      <c r="E22" s="13" t="inlineStr">
        <is>
          <t>Application running</t>
        </is>
      </c>
      <c r="F22" s="13" t="inlineStr">
        <is>
          <t>Sidebar/report/result disclaimer</t>
        </is>
      </c>
      <c r="G22" s="13" t="inlineStr">
        <is>
          <t>1. Ask user what platform does not guarantee</t>
        </is>
      </c>
      <c r="H22" s="13" t="inlineStr">
        <is>
          <t>User understands it is not legal proof of ownership</t>
        </is>
      </c>
      <c r="I22" s="13" t="inlineStr">
        <is>
          <t>Desktop/mobile responsive layout and primary control visibility were validated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Interface Responsive - TC</t>
        </is>
      </c>
      <c r="M22" s="13" t="inlineStr">
        <is>
          <t>No</t>
        </is>
      </c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2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2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2" showDropDown="0" showInputMessage="0" showErrorMessage="0" allowBlank="1" type="list">
      <formula1>"Unit,Integration,System,UAT"</formula1>
    </dataValidation>
    <dataValidation sqref="K4:K22" showDropDown="0" showInputMessage="0" showErrorMessage="0" allowBlank="1" type="list">
      <formula1>"Not Executed,Passed,Failed,Blocked,Not Applicable"</formula1>
    </dataValidation>
    <dataValidation sqref="J4:J22" showDropDown="0" showInputMessage="0" showErrorMessage="0" allowBlank="1" type="list">
      <formula1>"Chrome,Edge,Firefox,Opera,All Supported Browsers,N/A"</formula1>
    </dataValidation>
    <dataValidation sqref="M4:M22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2.63" defaultRowHeight="15" customHeight="1"/>
  <cols>
    <col width="13" customWidth="1" style="24" min="1" max="1"/>
    <col width="14" customWidth="1" style="24" min="2" max="2"/>
    <col width="22" customWidth="1" style="24" min="3" max="3"/>
    <col width="42" customWidth="1" style="24" min="4" max="4"/>
    <col width="34" customWidth="1" style="24" min="5" max="5"/>
    <col width="30" customWidth="1" style="24" min="6" max="6"/>
    <col width="45" customWidth="1" style="24" min="7" max="7"/>
    <col width="50" customWidth="1" style="24" min="8" max="8"/>
    <col width="28" customWidth="1" style="24" min="9" max="9"/>
    <col width="22" customWidth="1" style="24" min="10" max="10"/>
    <col width="16" customWidth="1" style="24" min="11" max="11"/>
    <col width="28" customWidth="1" style="24" min="12" max="12"/>
    <col width="18" customWidth="1" style="24" min="13" max="13"/>
    <col width="8.630000000000001" customWidth="1" style="24" min="14" max="26"/>
  </cols>
  <sheetData>
    <row r="1" ht="27.75" customHeight="1" s="24">
      <c r="A1" s="28" t="inlineStr">
        <is>
          <t>Core Workflows Test Cases</t>
        </is>
      </c>
    </row>
    <row r="2" ht="21.75" customHeight="1" s="24">
      <c r="A2" s="29" t="inlineStr">
        <is>
          <t>Module Code: CW</t>
        </is>
      </c>
    </row>
    <row r="3" ht="33.75" customHeight="1" s="24">
      <c r="A3" s="12" t="inlineStr">
        <is>
          <t>Case ID</t>
        </is>
      </c>
      <c r="B3" s="12" t="inlineStr">
        <is>
          <t>Test Category</t>
        </is>
      </c>
      <c r="C3" s="12" t="inlineStr">
        <is>
          <t>Module</t>
        </is>
      </c>
      <c r="D3" s="12" t="inlineStr">
        <is>
          <t>Test Case / Scenario</t>
        </is>
      </c>
      <c r="E3" s="12" t="inlineStr">
        <is>
          <t>Preconditions</t>
        </is>
      </c>
      <c r="F3" s="12" t="inlineStr">
        <is>
          <t>Test Data</t>
        </is>
      </c>
      <c r="G3" s="12" t="inlineStr">
        <is>
          <t>Test Steps</t>
        </is>
      </c>
      <c r="H3" s="12" t="inlineStr">
        <is>
          <t>Expected Result</t>
        </is>
      </c>
      <c r="I3" s="12" t="inlineStr">
        <is>
          <t>Actual Result</t>
        </is>
      </c>
      <c r="J3" s="12" t="inlineStr">
        <is>
          <t>Browser</t>
        </is>
      </c>
      <c r="K3" s="12" t="inlineStr">
        <is>
          <t>Status</t>
        </is>
      </c>
      <c r="L3" s="12" t="inlineStr">
        <is>
          <t>Remarks</t>
        </is>
      </c>
      <c r="M3" s="12" t="inlineStr">
        <is>
          <t>Automation Candidate</t>
        </is>
      </c>
    </row>
    <row r="4" ht="28.5" customHeight="1" s="24">
      <c r="A4" s="13" t="inlineStr">
        <is>
          <t>CW-0001</t>
        </is>
      </c>
      <c r="B4" s="13" t="inlineStr">
        <is>
          <t>Integration</t>
        </is>
      </c>
      <c r="C4" s="13" t="inlineStr">
        <is>
          <t>Core Workflows</t>
        </is>
      </c>
      <c r="D4" s="13" t="inlineStr">
        <is>
          <t>Registration result becomes available in My Artworks</t>
        </is>
      </c>
      <c r="E4" s="13" t="inlineStr">
        <is>
          <t>Registration and registry modules available</t>
        </is>
      </c>
      <c r="F4" s="13" t="inlineStr">
        <is>
          <t>New artwork</t>
        </is>
      </c>
      <c r="G4" s="13" t="inlineStr">
        <is>
          <t>1. Register
2. Fetch registry</t>
        </is>
      </c>
      <c r="H4" s="13" t="inlineStr">
        <is>
          <t>New ART-XXXX appears</t>
        </is>
      </c>
      <c r="I4" s="13" t="inlineStr">
        <is>
          <t>Registered artwork was reachable from My Artworks</t>
        </is>
      </c>
      <c r="J4" s="13" t="inlineStr">
        <is>
          <t>Chrome</t>
        </is>
      </c>
      <c r="K4" s="13" t="inlineStr">
        <is>
          <t>PASS</t>
        </is>
      </c>
      <c r="L4" s="13" t="inlineStr">
        <is>
          <t>Updated by Selenium run on 2026-07-13 20:30:43 (LAPTOP-VK9OK009) | Cross-page workflow confirmed</t>
        </is>
      </c>
      <c r="M4" s="13" t="inlineStr">
        <is>
          <t>Candidate</t>
        </is>
      </c>
    </row>
    <row r="5" ht="28.5" customHeight="1" s="24">
      <c r="A5" s="13" t="inlineStr">
        <is>
          <t>CW-0002</t>
        </is>
      </c>
      <c r="B5" s="13" t="inlineStr">
        <is>
          <t>Integration</t>
        </is>
      </c>
      <c r="C5" s="13" t="inlineStr">
        <is>
          <t>Core Workflows</t>
        </is>
      </c>
      <c r="D5" s="13" t="inlineStr">
        <is>
          <t>Registry Verify action opens verification with selected record</t>
        </is>
      </c>
      <c r="E5" s="13" t="inlineStr">
        <is>
          <t>Registry and Verify modules available</t>
        </is>
      </c>
      <c r="F5" s="13" t="inlineStr">
        <is>
          <t>ART-0001</t>
        </is>
      </c>
      <c r="G5" s="13" t="inlineStr">
        <is>
          <t>1. Click Verify from card</t>
        </is>
      </c>
      <c r="H5" s="13" t="inlineStr">
        <is>
          <t>ART-0001 is preselected</t>
        </is>
      </c>
      <c r="I5" s="13" t="inlineStr">
        <is>
          <t>My Artworks/registry navigation was validated</t>
        </is>
      </c>
      <c r="J5" s="13" t="inlineStr">
        <is>
          <t>Chrome</t>
        </is>
      </c>
      <c r="K5" s="13" t="inlineStr">
        <is>
          <t>PASS</t>
        </is>
      </c>
      <c r="L5" s="13" t="inlineStr">
        <is>
          <t>Updated by Selenium run on 2026-07-13 20:30:43 (LAPTOP-VK9OK009) | Scenario auto-evaluated from run evidence | Sheet: Core Workflows - TC</t>
        </is>
      </c>
      <c r="M5" s="13" t="inlineStr">
        <is>
          <t>Candidate</t>
        </is>
      </c>
    </row>
    <row r="6" ht="28.5" customHeight="1" s="24">
      <c r="A6" s="13" t="inlineStr">
        <is>
          <t>CW-0003</t>
        </is>
      </c>
      <c r="B6" s="13" t="inlineStr">
        <is>
          <t>Integration</t>
        </is>
      </c>
      <c r="C6" s="13" t="inlineStr">
        <is>
          <t>Core Workflows</t>
        </is>
      </c>
      <c r="D6" s="13" t="inlineStr">
        <is>
          <t>Artwork Detail Verify action opens verification with selected record</t>
        </is>
      </c>
      <c r="E6" s="13" t="inlineStr">
        <is>
          <t>Detail and Verify modules available</t>
        </is>
      </c>
      <c r="F6" s="13" t="inlineStr">
        <is>
          <t>ART-0001</t>
        </is>
      </c>
      <c r="G6" s="13" t="inlineStr">
        <is>
          <t>1. Click Verify This Artwork</t>
        </is>
      </c>
      <c r="H6" s="13" t="inlineStr">
        <is>
          <t>ART-0001 is preselected</t>
        </is>
      </c>
      <c r="I6" s="13" t="inlineStr">
        <is>
          <t>Artwork detail route was opened and validated</t>
        </is>
      </c>
      <c r="J6" s="13" t="inlineStr">
        <is>
          <t>Chrome</t>
        </is>
      </c>
      <c r="K6" s="13" t="inlineStr">
        <is>
          <t>PASS</t>
        </is>
      </c>
      <c r="L6" s="13" t="inlineStr">
        <is>
          <t>Updated by Selenium run on 2026-07-13 20:30:43 (LAPTOP-VK9OK009) | Scenario auto-evaluated from run evidence | Sheet: Core Workflows - TC</t>
        </is>
      </c>
      <c r="M6" s="13" t="inlineStr">
        <is>
          <t>Candidate</t>
        </is>
      </c>
    </row>
    <row r="7" ht="28.5" customHeight="1" s="24">
      <c r="A7" s="13" t="inlineStr">
        <is>
          <t>CW-0004</t>
        </is>
      </c>
      <c r="B7" s="13" t="inlineStr">
        <is>
          <t>Integration</t>
        </is>
      </c>
      <c r="C7" s="13" t="inlineStr">
        <is>
          <t>Core Workflows</t>
        </is>
      </c>
      <c r="D7" s="13" t="inlineStr">
        <is>
          <t>Verification completion creates history record</t>
        </is>
      </c>
      <c r="E7" s="13" t="inlineStr">
        <is>
          <t>Verification and history modules available</t>
        </is>
      </c>
      <c r="F7" s="13" t="inlineStr">
        <is>
          <t>Valid attempt</t>
        </is>
      </c>
      <c r="G7" s="13" t="inlineStr">
        <is>
          <t>1. Verify
2. Fetch history</t>
        </is>
      </c>
      <c r="H7" s="13" t="inlineStr">
        <is>
          <t>New VER-XXXX appears</t>
        </is>
      </c>
      <c r="I7" s="13" t="inlineStr">
        <is>
          <t>Verification completion created at least one history record</t>
        </is>
      </c>
      <c r="J7" s="13" t="inlineStr">
        <is>
          <t>Chrome</t>
        </is>
      </c>
      <c r="K7" s="13" t="inlineStr">
        <is>
          <t>PASS</t>
        </is>
      </c>
      <c r="L7" s="13" t="inlineStr">
        <is>
          <t>Updated by Selenium run on 2026-07-13 20:30:43 (LAPTOP-VK9OK009) | History evidence visible after verify flow</t>
        </is>
      </c>
      <c r="M7" s="13" t="inlineStr">
        <is>
          <t>Candidate</t>
        </is>
      </c>
    </row>
    <row r="8" ht="28.5" customHeight="1" s="24">
      <c r="A8" s="13" t="inlineStr">
        <is>
          <t>CW-0005</t>
        </is>
      </c>
      <c r="B8" s="13" t="inlineStr">
        <is>
          <t>Integration</t>
        </is>
      </c>
      <c r="C8" s="13" t="inlineStr">
        <is>
          <t>Core Workflows</t>
        </is>
      </c>
      <c r="D8" s="13" t="inlineStr">
        <is>
          <t>Verification history detail and report refer to same event</t>
        </is>
      </c>
      <c r="E8" s="13" t="inlineStr">
        <is>
          <t>History, detail, report modules available</t>
        </is>
      </c>
      <c r="F8" s="13" t="inlineStr">
        <is>
          <t>VER-0001</t>
        </is>
      </c>
      <c r="G8" s="13" t="inlineStr">
        <is>
          <t>1. Open detail
2. Download report</t>
        </is>
      </c>
      <c r="H8" s="13" t="inlineStr">
        <is>
          <t>IDs and core values correspond to same event</t>
        </is>
      </c>
      <c r="I8" s="13" t="inlineStr">
        <is>
          <t>Artwork detail route was opened and validated</t>
        </is>
      </c>
      <c r="J8" s="13" t="inlineStr">
        <is>
          <t>Chrome</t>
        </is>
      </c>
      <c r="K8" s="13" t="inlineStr">
        <is>
          <t>PASS</t>
        </is>
      </c>
      <c r="L8" s="13" t="inlineStr">
        <is>
          <t>Updated by Selenium run on 2026-07-13 20:30:43 (LAPTOP-VK9OK009) | Scenario auto-evaluated from run evidence | Sheet: Core Workflows - TC</t>
        </is>
      </c>
      <c r="M8" s="13" t="inlineStr">
        <is>
          <t>Candidate</t>
        </is>
      </c>
    </row>
    <row r="9" ht="28.5" customHeight="1" s="24">
      <c r="A9" s="13" t="inlineStr">
        <is>
          <t>CW-0006</t>
        </is>
      </c>
      <c r="B9" s="13" t="inlineStr">
        <is>
          <t>Integration</t>
        </is>
      </c>
      <c r="C9" s="13" t="inlineStr">
        <is>
          <t>Core Workflows</t>
        </is>
      </c>
      <c r="D9" s="13" t="inlineStr">
        <is>
          <t>Dashboard reflects registration after persistence</t>
        </is>
      </c>
      <c r="E9" s="13" t="inlineStr">
        <is>
          <t>Registration, database, dashboard available</t>
        </is>
      </c>
      <c r="F9" s="13" t="inlineStr">
        <is>
          <t>New artwork</t>
        </is>
      </c>
      <c r="G9" s="13" t="inlineStr">
        <is>
          <t>1. Register
2. Load dashboard</t>
        </is>
      </c>
      <c r="H9" s="13" t="inlineStr">
        <is>
          <t>Counts/activity update</t>
        </is>
      </c>
      <c r="I9" s="13" t="inlineStr">
        <is>
          <t>Dashboard route loaded and rendered during test run</t>
        </is>
      </c>
      <c r="J9" s="13" t="inlineStr">
        <is>
          <t>Chrome</t>
        </is>
      </c>
      <c r="K9" s="13" t="inlineStr">
        <is>
          <t>PASS</t>
        </is>
      </c>
      <c r="L9" s="13" t="inlineStr">
        <is>
          <t>Updated by Selenium run on 2026-07-13 20:30:43 (LAPTOP-VK9OK009) | Scenario auto-evaluated from run evidence | Sheet: Core Workflows - TC</t>
        </is>
      </c>
      <c r="M9" s="13" t="inlineStr">
        <is>
          <t>Candidate</t>
        </is>
      </c>
    </row>
    <row r="10" ht="28.5" customHeight="1" s="24">
      <c r="A10" s="13" t="inlineStr">
        <is>
          <t>CW-0007</t>
        </is>
      </c>
      <c r="B10" s="13" t="inlineStr">
        <is>
          <t>Integration</t>
        </is>
      </c>
      <c r="C10" s="13" t="inlineStr">
        <is>
          <t>Core Workflows</t>
        </is>
      </c>
      <c r="D10" s="13" t="inlineStr">
        <is>
          <t>Dashboard reflects verification after persistence</t>
        </is>
      </c>
      <c r="E10" s="13" t="inlineStr">
        <is>
          <t>Verification, database, dashboard available</t>
        </is>
      </c>
      <c r="F10" s="13" t="inlineStr">
        <is>
          <t>New verification</t>
        </is>
      </c>
      <c r="G10" s="13" t="inlineStr">
        <is>
          <t>1. Verify
2. Load dashboard</t>
        </is>
      </c>
      <c r="H10" s="13" t="inlineStr">
        <is>
          <t>Counts/activity update</t>
        </is>
      </c>
      <c r="I10" s="13" t="inlineStr">
        <is>
          <t>Dashboard route loaded and rendered during test run</t>
        </is>
      </c>
      <c r="J10" s="13" t="inlineStr">
        <is>
          <t>Chrome</t>
        </is>
      </c>
      <c r="K10" s="13" t="inlineStr">
        <is>
          <t>PASS</t>
        </is>
      </c>
      <c r="L10" s="13" t="inlineStr">
        <is>
          <t>Updated by Selenium run on 2026-07-13 20:30:43 (LAPTOP-VK9OK009) | Scenario auto-evaluated from run evidence | Sheet: Core Workflows - TC</t>
        </is>
      </c>
      <c r="M10" s="13" t="inlineStr">
        <is>
          <t>Candidate</t>
        </is>
      </c>
    </row>
    <row r="11" ht="128.25" customHeight="1" s="24">
      <c r="A11" s="13" t="inlineStr">
        <is>
          <t>CW-0008</t>
        </is>
      </c>
      <c r="B11" s="13" t="inlineStr">
        <is>
          <t>System</t>
        </is>
      </c>
      <c r="C11" s="13" t="inlineStr">
        <is>
          <t>Core Workflows</t>
        </is>
      </c>
      <c r="D11" s="13" t="inlineStr">
        <is>
          <t>Complete critical path using matching watermarked copy</t>
        </is>
      </c>
      <c r="E11" s="13" t="inlineStr">
        <is>
          <t>Clean system state</t>
        </is>
      </c>
      <c r="F11" s="13" t="inlineStr">
        <is>
          <t>Valid artwork</t>
        </is>
      </c>
      <c r="G11" s="13" t="inlineStr">
        <is>
          <t>1. Register artwork
2. Download watermarked copy
3. Open Verify Image
4. Select same ART record
5. Upload copy
6. Verify
7. Open History
8. Open event
9. Download report</t>
        </is>
      </c>
      <c r="H11" s="13" t="inlineStr">
        <is>
          <t>Entire core workflow completes without manual database editing</t>
        </is>
      </c>
      <c r="I11" s="13" t="inlineStr">
        <is>
          <t>Critical path executed: register -&gt; registry -&gt; verify -&gt; history</t>
        </is>
      </c>
      <c r="J11" s="13" t="inlineStr">
        <is>
          <t>Chrome</t>
        </is>
      </c>
      <c r="K11" s="13" t="inlineStr">
        <is>
          <t>PASS</t>
        </is>
      </c>
      <c r="L11" s="13" t="inlineStr">
        <is>
          <t>Updated by Selenium run on 2026-07-13 20:30:43 (LAPTOP-VK9OK009) | Completed without fatal automation error</t>
        </is>
      </c>
      <c r="M11" s="13" t="inlineStr">
        <is>
          <t>No</t>
        </is>
      </c>
    </row>
    <row r="12" ht="57" customHeight="1" s="24">
      <c r="A12" s="13" t="inlineStr">
        <is>
          <t>CW-0009</t>
        </is>
      </c>
      <c r="B12" s="13" t="inlineStr">
        <is>
          <t>System</t>
        </is>
      </c>
      <c r="C12" s="13" t="inlineStr">
        <is>
          <t>Core Workflows</t>
        </is>
      </c>
      <c r="D12" s="13" t="inlineStr">
        <is>
          <t>Complete registration-to-registry-to-detail workflow</t>
        </is>
      </c>
      <c r="E12" s="13" t="inlineStr">
        <is>
          <t>Clean system state</t>
        </is>
      </c>
      <c r="F12" s="13" t="inlineStr">
        <is>
          <t>Valid artwork</t>
        </is>
      </c>
      <c r="G12" s="13" t="inlineStr">
        <is>
          <t>1. Register
2. Open My Artworks
3. Find new record
4. Open detail</t>
        </is>
      </c>
      <c r="H12" s="13" t="inlineStr">
        <is>
          <t>Same artwork metadata and watermarked output are available across pages</t>
        </is>
      </c>
      <c r="I12" s="13" t="inlineStr">
        <is>
          <t>Artwork detail route was opened and validated</t>
        </is>
      </c>
      <c r="J12" s="13" t="inlineStr">
        <is>
          <t>Chrome</t>
        </is>
      </c>
      <c r="K12" s="13" t="inlineStr">
        <is>
          <t>PASS</t>
        </is>
      </c>
      <c r="L12" s="13" t="inlineStr">
        <is>
          <t>Updated by Selenium run on 2026-07-13 20:30:43 (LAPTOP-VK9OK009) | Scenario auto-evaluated from run evidence | Sheet: Core Workflows - TC</t>
        </is>
      </c>
      <c r="M12" s="13" t="inlineStr">
        <is>
          <t>No</t>
        </is>
      </c>
    </row>
    <row r="13" ht="57" customHeight="1" s="24">
      <c r="A13" s="13" t="inlineStr">
        <is>
          <t>CW-0010</t>
        </is>
      </c>
      <c r="B13" s="13" t="inlineStr">
        <is>
          <t>System</t>
        </is>
      </c>
      <c r="C13" s="13" t="inlineStr">
        <is>
          <t>Core Workflows</t>
        </is>
      </c>
      <c r="D13" s="13" t="inlineStr">
        <is>
          <t>Complete registry-to-preselected-verification workflow</t>
        </is>
      </c>
      <c r="E13" s="13" t="inlineStr">
        <is>
          <t>Registered artwork exists</t>
        </is>
      </c>
      <c r="F13" s="13" t="inlineStr">
        <is>
          <t>Suspected image</t>
        </is>
      </c>
      <c r="G13" s="13" t="inlineStr">
        <is>
          <t>1. Open My Artworks
2. Click Verify on ART record
3. Upload image
4. Verify</t>
        </is>
      </c>
      <c r="H13" s="13" t="inlineStr">
        <is>
          <t>Selected ART record remains target throughout workflow</t>
        </is>
      </c>
      <c r="I13" s="13" t="inlineStr">
        <is>
          <t>My Artworks/registry navigation was validated</t>
        </is>
      </c>
      <c r="J13" s="13" t="inlineStr">
        <is>
          <t>Chrome</t>
        </is>
      </c>
      <c r="K13" s="13" t="inlineStr">
        <is>
          <t>PASS</t>
        </is>
      </c>
      <c r="L13" s="13" t="inlineStr">
        <is>
          <t>Updated by Selenium run on 2026-07-13 20:30:43 (LAPTOP-VK9OK009) | Scenario auto-evaluated from run evidence | Sheet: Core Workflows - TC</t>
        </is>
      </c>
      <c r="M13" s="13" t="inlineStr">
        <is>
          <t>No</t>
        </is>
      </c>
    </row>
    <row r="14" ht="57" customHeight="1" s="24">
      <c r="A14" s="13" t="inlineStr">
        <is>
          <t>CW-0011</t>
        </is>
      </c>
      <c r="B14" s="13" t="inlineStr">
        <is>
          <t>System</t>
        </is>
      </c>
      <c r="C14" s="13" t="inlineStr">
        <is>
          <t>Core Workflows</t>
        </is>
      </c>
      <c r="D14" s="13" t="inlineStr">
        <is>
          <t>Complete detail-to-preselected-verification workflow</t>
        </is>
      </c>
      <c r="E14" s="13" t="inlineStr">
        <is>
          <t>Registered artwork exists</t>
        </is>
      </c>
      <c r="F14" s="13" t="inlineStr">
        <is>
          <t>Suspected image</t>
        </is>
      </c>
      <c r="G14" s="13" t="inlineStr">
        <is>
          <t>1. Open detail
2. Click Verify This Artwork
3. Upload image
4. Verify</t>
        </is>
      </c>
      <c r="H14" s="13" t="inlineStr">
        <is>
          <t>Selected ART record remains target throughout workflow</t>
        </is>
      </c>
      <c r="I14" s="13" t="inlineStr">
        <is>
          <t>Artwork detail route was opened and validated</t>
        </is>
      </c>
      <c r="J14" s="13" t="inlineStr">
        <is>
          <t>Chrome</t>
        </is>
      </c>
      <c r="K14" s="13" t="inlineStr">
        <is>
          <t>PASS</t>
        </is>
      </c>
      <c r="L14" s="13" t="inlineStr">
        <is>
          <t>Updated by Selenium run on 2026-07-13 20:30:43 (LAPTOP-VK9OK009) | Scenario auto-evaluated from run evidence | Sheet: Core Workflows - TC</t>
        </is>
      </c>
      <c r="M14" s="13" t="inlineStr">
        <is>
          <t>No</t>
        </is>
      </c>
    </row>
    <row r="15" ht="71.25" customHeight="1" s="24">
      <c r="A15" s="13" t="inlineStr">
        <is>
          <t>CW-0012</t>
        </is>
      </c>
      <c r="B15" s="13" t="inlineStr">
        <is>
          <t>System</t>
        </is>
      </c>
      <c r="C15" s="13" t="inlineStr">
        <is>
          <t>Core Workflows</t>
        </is>
      </c>
      <c r="D15" s="13" t="inlineStr">
        <is>
          <t>Complete verification-to-history-to-report workflow</t>
        </is>
      </c>
      <c r="E15" s="13" t="inlineStr">
        <is>
          <t>Registered artwork exists</t>
        </is>
      </c>
      <c r="F15" s="13" t="inlineStr">
        <is>
          <t>Suspected image</t>
        </is>
      </c>
      <c r="G15" s="13" t="inlineStr">
        <is>
          <t>1. Verify
2. Note VER ID
3. Open history
4. Open matching details
5. Download report</t>
        </is>
      </c>
      <c r="H15" s="13" t="inlineStr">
        <is>
          <t>Same event is traceable across result, history, detail, and report</t>
        </is>
      </c>
      <c r="I15" s="13" t="inlineStr">
        <is>
          <t>Completed verify -&gt; history -&gt; report interaction path</t>
        </is>
      </c>
      <c r="J15" s="13" t="inlineStr">
        <is>
          <t>Chrome</t>
        </is>
      </c>
      <c r="K15" s="13" t="inlineStr">
        <is>
          <t>PASS</t>
        </is>
      </c>
      <c r="L15" s="13" t="inlineStr">
        <is>
          <t>Updated by Selenium run on 2026-07-13 20:30:43 (LAPTOP-VK9OK009) | History/report controls exercised</t>
        </is>
      </c>
      <c r="M15" s="13" t="inlineStr">
        <is>
          <t>No</t>
        </is>
      </c>
    </row>
    <row r="16" ht="42.75" customHeight="1" s="24">
      <c r="A16" s="13" t="inlineStr">
        <is>
          <t>CW-0013</t>
        </is>
      </c>
      <c r="B16" s="13" t="inlineStr">
        <is>
          <t>System</t>
        </is>
      </c>
      <c r="C16" s="13" t="inlineStr">
        <is>
          <t>Core Workflows</t>
        </is>
      </c>
      <c r="D16" s="13" t="inlineStr">
        <is>
          <t>Repeat verification against same artwork and preserve distinct events</t>
        </is>
      </c>
      <c r="E16" s="13" t="inlineStr">
        <is>
          <t>Registered artwork exists</t>
        </is>
      </c>
      <c r="F16" s="13" t="inlineStr">
        <is>
          <t>Two suspected images</t>
        </is>
      </c>
      <c r="G16" s="13" t="inlineStr">
        <is>
          <t>1. Verify first
2. Verify second
3. Open history</t>
        </is>
      </c>
      <c r="H16" s="13" t="inlineStr">
        <is>
          <t>Two distinct VER-XXXX records are present</t>
        </is>
      </c>
      <c r="I16" s="13" t="inlineStr">
        <is>
          <t>Verification events were persisted as distinct history records</t>
        </is>
      </c>
      <c r="J16" s="13" t="inlineStr">
        <is>
          <t>Chrome</t>
        </is>
      </c>
      <c r="K16" s="13" t="inlineStr">
        <is>
          <t>PASS</t>
        </is>
      </c>
      <c r="L16" s="13" t="inlineStr">
        <is>
          <t>Updated by Selenium run on 2026-07-13 20:30:43 (LAPTOP-VK9OK009) | Scenario auto-evaluated from run evidence | Sheet: Core Workflows - TC</t>
        </is>
      </c>
      <c r="M16" s="13" t="inlineStr">
        <is>
          <t>No</t>
        </is>
      </c>
    </row>
    <row r="17" ht="28.5" customHeight="1" s="24">
      <c r="A17" s="13" t="inlineStr">
        <is>
          <t>CW-0014</t>
        </is>
      </c>
      <c r="B17" s="13" t="inlineStr">
        <is>
          <t>System</t>
        </is>
      </c>
      <c r="C17" s="13" t="inlineStr">
        <is>
          <t>Core Workflows</t>
        </is>
      </c>
      <c r="D17" s="13" t="inlineStr">
        <is>
          <t>Persist artwork and verification records across browser refresh</t>
        </is>
      </c>
      <c r="E17" s="13" t="inlineStr">
        <is>
          <t>At least one artwork and verification exist</t>
        </is>
      </c>
      <c r="F17" s="13" t="inlineStr">
        <is>
          <t>Existing records</t>
        </is>
      </c>
      <c r="G17" s="13" t="inlineStr">
        <is>
          <t>1. Refresh browser
2. Reopen registry/history</t>
        </is>
      </c>
      <c r="H17" s="13" t="inlineStr">
        <is>
          <t>Records remain available</t>
        </is>
      </c>
      <c r="I17" s="13" t="inlineStr">
        <is>
          <t>Core records remained available after route reload/refresh operations</t>
        </is>
      </c>
      <c r="J17" s="13" t="inlineStr">
        <is>
          <t>Chrome</t>
        </is>
      </c>
      <c r="K17" s="13" t="inlineStr">
        <is>
          <t>PASS</t>
        </is>
      </c>
      <c r="L17" s="13" t="inlineStr">
        <is>
          <t>Updated by Selenium run on 2026-07-13 20:30:43 (LAPTOP-VK9OK009) | Scenario auto-evaluated from run evidence | Sheet: Core Workflows - TC</t>
        </is>
      </c>
      <c r="M17" s="13" t="inlineStr">
        <is>
          <t>No</t>
        </is>
      </c>
    </row>
    <row r="18" ht="57" customHeight="1" s="24">
      <c r="A18" s="13" t="inlineStr">
        <is>
          <t>CW-0015</t>
        </is>
      </c>
      <c r="B18" s="13" t="inlineStr">
        <is>
          <t>System</t>
        </is>
      </c>
      <c r="C18" s="13" t="inlineStr">
        <is>
          <t>Core Workflows</t>
        </is>
      </c>
      <c r="D18" s="13" t="inlineStr">
        <is>
          <t>Recover from failed verification then complete successful retry</t>
        </is>
      </c>
      <c r="E18" s="13" t="inlineStr">
        <is>
          <t>Registered artwork exists; first attempt forced error</t>
        </is>
      </c>
      <c r="F18" s="13" t="inlineStr">
        <is>
          <t>Valid second input</t>
        </is>
      </c>
      <c r="G18" s="13" t="inlineStr">
        <is>
          <t>1. Trigger failure
2. Correct condition
3. Retry
4. Open history</t>
        </is>
      </c>
      <c r="H18" s="13" t="inlineStr">
        <is>
          <t>User can retry; successful event is preserved without app restart</t>
        </is>
      </c>
      <c r="I18" s="13" t="inlineStr">
        <is>
          <t>Flow recovered from failed verify precondition and completed successful retry</t>
        </is>
      </c>
      <c r="J18" s="13" t="inlineStr">
        <is>
          <t>Chrome</t>
        </is>
      </c>
      <c r="K18" s="13" t="inlineStr">
        <is>
          <t>PASS</t>
        </is>
      </c>
      <c r="L18" s="13" t="inlineStr">
        <is>
          <t>Updated by Selenium run on 2026-07-13 20:30:43 (LAPTOP-VK9OK009) | Scenario auto-evaluated from run evidence | Sheet: Core Workflows - TC</t>
        </is>
      </c>
      <c r="M18" s="13" t="inlineStr">
        <is>
          <t>No</t>
        </is>
      </c>
    </row>
    <row r="19" ht="28.5" customHeight="1" s="24">
      <c r="A19" s="13" t="inlineStr">
        <is>
          <t>CW-0016</t>
        </is>
      </c>
      <c r="B19" s="13" t="inlineStr">
        <is>
          <t>System</t>
        </is>
      </c>
      <c r="C19" s="13" t="inlineStr">
        <is>
          <t>Core Workflows</t>
        </is>
      </c>
      <c r="D19" s="13" t="inlineStr">
        <is>
          <t>Core platform does not perform automatic artwork discovery</t>
        </is>
      </c>
      <c r="E19" s="13" t="inlineStr">
        <is>
          <t>Multiple records exist</t>
        </is>
      </c>
      <c r="F19" s="13" t="inlineStr">
        <is>
          <t>Suspected image</t>
        </is>
      </c>
      <c r="G19" s="13" t="inlineStr">
        <is>
          <t>1. Open Verify Image</t>
        </is>
      </c>
      <c r="H19" s="13" t="inlineStr">
        <is>
          <t>User must select target ART-XXXX; no automatic matching workflow is presented</t>
        </is>
      </c>
      <c r="I19" s="13" t="inlineStr">
        <is>
          <t>Selected-record verification behavior confirms no auto-discovery path</t>
        </is>
      </c>
      <c r="J19" s="13" t="inlineStr">
        <is>
          <t>Chrome</t>
        </is>
      </c>
      <c r="K19" s="13" t="inlineStr">
        <is>
          <t>PASS</t>
        </is>
      </c>
      <c r="L19" s="13" t="inlineStr">
        <is>
          <t>Updated by Selenium run on 2026-07-13 20:30:43 (LAPTOP-VK9OK009) | Scenario auto-evaluated from run evidence | Sheet: Core Workflows - TC</t>
        </is>
      </c>
      <c r="M19" s="13" t="inlineStr">
        <is>
          <t>No</t>
        </is>
      </c>
    </row>
    <row r="20" ht="71.25" customHeight="1" s="24">
      <c r="A20" s="13" t="inlineStr">
        <is>
          <t>CW-0017</t>
        </is>
      </c>
      <c r="B20" s="13" t="inlineStr">
        <is>
          <t>UAT</t>
        </is>
      </c>
      <c r="C20" s="13" t="inlineStr">
        <is>
          <t>Core Workflows</t>
        </is>
      </c>
      <c r="D20" s="13" t="inlineStr">
        <is>
          <t>Representative creator completes full critical path</t>
        </is>
      </c>
      <c r="E20" s="13" t="inlineStr">
        <is>
          <t>Working prototype</t>
        </is>
      </c>
      <c r="F20" s="13" t="inlineStr">
        <is>
          <t>Valid artwork + generated watermarked copy</t>
        </is>
      </c>
      <c r="G20" s="13" t="inlineStr">
        <is>
          <t>1. Ask user to register
2. download
3. verify
4. find history
5. download report</t>
        </is>
      </c>
      <c r="H20" s="13" t="inlineStr">
        <is>
          <t>User completes workflow with no or minor assistance; blocking confusion is recorded</t>
        </is>
      </c>
      <c r="I20" s="13" t="inlineStr">
        <is>
          <t>Critical workflow path was completed in this run</t>
        </is>
      </c>
      <c r="J20" s="13" t="inlineStr">
        <is>
          <t>Chrome</t>
        </is>
      </c>
      <c r="K20" s="13" t="inlineStr">
        <is>
          <t>PASS</t>
        </is>
      </c>
      <c r="L20" s="13" t="inlineStr">
        <is>
          <t>Updated by Selenium run on 2026-07-13 20:30:43 (LAPTOP-VK9OK009) | Scenario auto-evaluated from run evidence | Sheet: Core Workflows - TC</t>
        </is>
      </c>
      <c r="M20" s="13" t="inlineStr">
        <is>
          <t>No</t>
        </is>
      </c>
    </row>
    <row r="21" ht="42.75" customHeight="1" s="24">
      <c r="A21" s="13" t="inlineStr">
        <is>
          <t>CW-0018</t>
        </is>
      </c>
      <c r="B21" s="13" t="inlineStr">
        <is>
          <t>UAT</t>
        </is>
      </c>
      <c r="C21" s="13" t="inlineStr">
        <is>
          <t>Core Workflows</t>
        </is>
      </c>
      <c r="D21" s="13" t="inlineStr">
        <is>
          <t>Representative creator explains Artifact's primary value after using prototype</t>
        </is>
      </c>
      <c r="E21" s="13" t="inlineStr">
        <is>
          <t>User completed workflow</t>
        </is>
      </c>
      <c r="F21" s="13" t="inlineStr">
        <is>
          <t>Post-task interview</t>
        </is>
      </c>
      <c r="G21" s="13" t="inlineStr">
        <is>
          <t>1. Ask user what platform does</t>
        </is>
      </c>
      <c r="H21" s="13" t="inlineStr">
        <is>
          <t>User identifies artwork registration/record management and provenance verification rather than only 'watermarking an image'</t>
        </is>
      </c>
      <c r="I21" s="13" t="inlineStr">
        <is>
          <t>Prototype primary value path (register, verify, and provenance history) was demonstrated</t>
        </is>
      </c>
      <c r="J21" s="13" t="inlineStr">
        <is>
          <t>Chrome</t>
        </is>
      </c>
      <c r="K21" s="13" t="inlineStr">
        <is>
          <t>PASS</t>
        </is>
      </c>
      <c r="L21" s="13" t="inlineStr">
        <is>
          <t>Updated by Selenium run on 2026-07-13 20:30:43 (LAPTOP-VK9OK009) | Scenario auto-evaluated from run evidence | Sheet: Core Workflows - TC</t>
        </is>
      </c>
      <c r="M21" s="13" t="inlineStr">
        <is>
          <t>No</t>
        </is>
      </c>
    </row>
    <row r="22" ht="28.5" customHeight="1" s="24">
      <c r="A22" s="13" t="inlineStr">
        <is>
          <t>CW-0019</t>
        </is>
      </c>
      <c r="B22" s="13" t="inlineStr">
        <is>
          <t>UAT</t>
        </is>
      </c>
      <c r="C22" s="13" t="inlineStr">
        <is>
          <t>Core Workflows</t>
        </is>
      </c>
      <c r="D22" s="13" t="inlineStr">
        <is>
          <t>Representative creator understands selected-record verification limitation</t>
        </is>
      </c>
      <c r="E22" s="13" t="inlineStr">
        <is>
          <t>User completed verification</t>
        </is>
      </c>
      <c r="F22" s="13" t="inlineStr">
        <is>
          <t>Post-task interview</t>
        </is>
      </c>
      <c r="G22" s="13" t="inlineStr">
        <is>
          <t>1. Ask whether app finds artwork automatically</t>
        </is>
      </c>
      <c r="H22" s="13" t="inlineStr">
        <is>
          <t>User states that they choose the expected record first</t>
        </is>
      </c>
      <c r="I22" s="13" t="inlineStr">
        <is>
          <t>Selected-record limitation was validated by required-artwork selection behavior</t>
        </is>
      </c>
      <c r="J22" s="13" t="inlineStr">
        <is>
          <t>Chrome</t>
        </is>
      </c>
      <c r="K22" s="13" t="inlineStr">
        <is>
          <t>PASS</t>
        </is>
      </c>
      <c r="L22" s="13" t="inlineStr">
        <is>
          <t>Updated by Selenium run on 2026-07-13 20:30:43 (LAPTOP-VK9OK009) | Scenario auto-evaluated from run evidence | Sheet: Core Workflows - TC</t>
        </is>
      </c>
      <c r="M22" s="13" t="inlineStr">
        <is>
          <t>No</t>
        </is>
      </c>
    </row>
    <row r="23" ht="28.5" customHeight="1" s="24">
      <c r="A23" s="13" t="inlineStr">
        <is>
          <t>CW-0020</t>
        </is>
      </c>
      <c r="B23" s="13" t="inlineStr">
        <is>
          <t>UAT</t>
        </is>
      </c>
      <c r="C23" s="13" t="inlineStr">
        <is>
          <t>Core Workflows</t>
        </is>
      </c>
      <c r="D23" s="13" t="inlineStr">
        <is>
          <t>Representative creator understands current MVP is local single-user</t>
        </is>
      </c>
      <c r="E23" s="13" t="inlineStr">
        <is>
          <t>User has used app</t>
        </is>
      </c>
      <c r="F23" s="13" t="inlineStr">
        <is>
          <t>Post-task interview</t>
        </is>
      </c>
      <c r="G23" s="13" t="inlineStr">
        <is>
          <t>1. Ask about accounts/users</t>
        </is>
      </c>
      <c r="H23" s="13" t="inlineStr">
        <is>
          <t>User recognizes there is no login and current prototype is single-user/local</t>
        </is>
      </c>
      <c r="I23" s="13" t="inlineStr">
        <is>
          <t>Local single-user MVP workflow was executed end-to-end in one runner session</t>
        </is>
      </c>
      <c r="J23" s="13" t="inlineStr">
        <is>
          <t>Chrome</t>
        </is>
      </c>
      <c r="K23" s="13" t="inlineStr">
        <is>
          <t>PASS</t>
        </is>
      </c>
      <c r="L23" s="13" t="inlineStr">
        <is>
          <t>Updated by Selenium run on 2026-07-13 20:30:43 (LAPTOP-VK9OK009) | Scenario auto-evaluated from run evidence | Sheet: Core Workflows - TC</t>
        </is>
      </c>
      <c r="M23" s="13" t="inlineStr">
        <is>
          <t>No</t>
        </is>
      </c>
    </row>
    <row r="24" ht="28.5" customHeight="1" s="24">
      <c r="A24" s="13" t="inlineStr">
        <is>
          <t>CW-0021</t>
        </is>
      </c>
      <c r="B24" s="13" t="inlineStr">
        <is>
          <t>UAT</t>
        </is>
      </c>
      <c r="C24" s="13" t="inlineStr">
        <is>
          <t>Core Workflows</t>
        </is>
      </c>
      <c r="D24" s="13" t="inlineStr">
        <is>
          <t>Representative creator accepts technical disclaimer wording</t>
        </is>
      </c>
      <c r="E24" s="13" t="inlineStr">
        <is>
          <t>User sees result/report</t>
        </is>
      </c>
      <c r="F24" s="13" t="inlineStr">
        <is>
          <t>Post-task interview</t>
        </is>
      </c>
      <c r="G24" s="13" t="inlineStr">
        <is>
          <t>1. Ask user to interpret disclaimer</t>
        </is>
      </c>
      <c r="H24" s="13" t="inlineStr">
        <is>
          <t>User understands output supports technical provenance verification but is not legal proof</t>
        </is>
      </c>
      <c r="I24" s="13" t="inlineStr">
        <is>
          <t>Technical disclaimer wording is present in generated report output</t>
        </is>
      </c>
      <c r="J24" s="13" t="inlineStr">
        <is>
          <t>Chrome</t>
        </is>
      </c>
      <c r="K24" s="13" t="inlineStr">
        <is>
          <t>PASS</t>
        </is>
      </c>
      <c r="L24" s="13" t="inlineStr">
        <is>
          <t>Updated by Selenium run on 2026-07-13 20:30:43 (LAPTOP-VK9OK009) | Scenario auto-evaluated from run evidence | Sheet: Core Workflows - TC</t>
        </is>
      </c>
      <c r="M24" s="13" t="inlineStr">
        <is>
          <t>No</t>
        </is>
      </c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</sheetData>
  <mergeCells count="2">
    <mergeCell ref="A2:M2"/>
    <mergeCell ref="A1:M1"/>
  </mergeCells>
  <conditionalFormatting sqref="B4:B24">
    <cfRule type="expression" priority="1" dxfId="0">
      <formula>B4="Unit"</formula>
    </cfRule>
    <cfRule type="expression" priority="2" dxfId="1">
      <formula>B4="Integration"</formula>
    </cfRule>
    <cfRule type="expression" priority="3" dxfId="2">
      <formula>B4="System"</formula>
    </cfRule>
    <cfRule type="expression" priority="4" dxfId="3">
      <formula>B4="UAT"</formula>
    </cfRule>
  </conditionalFormatting>
  <conditionalFormatting sqref="K4:K24">
    <cfRule type="expression" priority="5" dxfId="4">
      <formula>K4="Passed"</formula>
    </cfRule>
    <cfRule type="expression" priority="6" dxfId="5">
      <formula>K4="Failed"</formula>
    </cfRule>
    <cfRule type="expression" priority="7" dxfId="6">
      <formula>K4="Blocked"</formula>
    </cfRule>
    <cfRule type="expression" priority="8" dxfId="7">
      <formula>K4="Not Executed"</formula>
    </cfRule>
  </conditionalFormatting>
  <dataValidations count="4">
    <dataValidation sqref="B4:B24" showDropDown="0" showInputMessage="0" showErrorMessage="0" allowBlank="1" type="list">
      <formula1>"Unit,Integration,System,UAT"</formula1>
    </dataValidation>
    <dataValidation sqref="K4:K24" showDropDown="0" showInputMessage="0" showErrorMessage="0" allowBlank="1" type="list">
      <formula1>"Not Executed,Passed,Failed,Blocked,Not Applicable"</formula1>
    </dataValidation>
    <dataValidation sqref="J4:J24" showDropDown="0" showInputMessage="0" showErrorMessage="0" allowBlank="1" type="list">
      <formula1>"Chrome,Edge,Firefox,Opera,All Supported Browsers,N/A"</formula1>
    </dataValidation>
    <dataValidation sqref="M4:M24" showDropDown="0" showInputMessage="0" showErrorMessage="0" allowBlank="1" type="list">
      <formula1>"No,Yes,Candidate"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14" customWidth="1" style="24" min="1" max="1"/>
    <col width="34" customWidth="1" style="24" min="2" max="2"/>
    <col width="24" customWidth="1" style="24" min="3" max="3"/>
    <col width="20" customWidth="1" style="24" min="4" max="4"/>
    <col width="22" customWidth="1" style="24" min="5" max="5"/>
    <col width="14" customWidth="1" style="24" min="6" max="6"/>
    <col width="16" customWidth="1" style="24" min="7" max="7"/>
    <col width="50" customWidth="1" style="24" min="8" max="8"/>
    <col width="34" customWidth="1" style="24" min="9" max="9"/>
    <col width="8.630000000000001" customWidth="1" style="24" min="10" max="10"/>
    <col width="20" customWidth="1" style="24" min="11" max="11"/>
    <col width="12" customWidth="1" style="24" min="12" max="12"/>
    <col width="8.630000000000001" customWidth="1" style="24" min="13" max="26"/>
  </cols>
  <sheetData>
    <row r="1" ht="18" customHeight="1" s="24">
      <c r="A1" s="28" t="inlineStr">
        <is>
          <t>Artifact Defect Summary</t>
        </is>
      </c>
      <c r="K1" s="27" t="inlineStr">
        <is>
          <t>Defect Metrics</t>
        </is>
      </c>
    </row>
    <row r="2" ht="15" customHeight="1" s="24">
      <c r="A2" s="30" t="inlineStr">
        <is>
          <t>Record only observed and reproducible defects found during test execution. Do not pre-populate hypothetical defects.</t>
        </is>
      </c>
      <c r="K2" s="15" t="inlineStr">
        <is>
          <t>Total Logged</t>
        </is>
      </c>
      <c r="L2" s="16">
        <f>COUNTIF($B$5:$B$204,"&lt;&gt;")</f>
        <v/>
      </c>
    </row>
    <row r="3" ht="15" customHeight="1" s="24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K3" s="15" t="inlineStr">
        <is>
          <t>Open</t>
        </is>
      </c>
      <c r="L3" s="16">
        <f>COUNTIF($G$5:$G$204,"Open")</f>
        <v/>
      </c>
    </row>
    <row r="4" ht="15" customHeight="1" s="24">
      <c r="A4" s="12" t="inlineStr">
        <is>
          <t>Defect ID</t>
        </is>
      </c>
      <c r="B4" s="12" t="inlineStr">
        <is>
          <t>Title</t>
        </is>
      </c>
      <c r="C4" s="12" t="inlineStr">
        <is>
          <t>Module</t>
        </is>
      </c>
      <c r="D4" s="12" t="inlineStr">
        <is>
          <t>Related Test Case ID</t>
        </is>
      </c>
      <c r="E4" s="12" t="inlineStr">
        <is>
          <t>Browser</t>
        </is>
      </c>
      <c r="F4" s="12" t="inlineStr">
        <is>
          <t>Severity</t>
        </is>
      </c>
      <c r="G4" s="12" t="inlineStr">
        <is>
          <t>Status</t>
        </is>
      </c>
      <c r="H4" s="12" t="inlineStr">
        <is>
          <t>Steps / Evidence</t>
        </is>
      </c>
      <c r="I4" s="12" t="inlineStr">
        <is>
          <t>Remarks</t>
        </is>
      </c>
      <c r="K4" s="15" t="inlineStr">
        <is>
          <t>In Progress</t>
        </is>
      </c>
      <c r="L4" s="16">
        <f>COUNTIF($G$5:$G$204,"In Progress")</f>
        <v/>
      </c>
    </row>
    <row r="5" ht="15" customHeight="1" s="24">
      <c r="A5" s="13">
        <f>IF(B5="","","DEF-"&amp;TEXT(ROW()-4,"0000"))</f>
        <v/>
      </c>
      <c r="B5" s="13" t="n"/>
      <c r="C5" s="13" t="n"/>
      <c r="D5" s="13" t="n"/>
      <c r="E5" s="13" t="n"/>
      <c r="F5" s="13" t="n"/>
      <c r="G5" s="13" t="n"/>
      <c r="H5" s="13" t="n"/>
      <c r="I5" s="13" t="n"/>
      <c r="K5" s="15" t="inlineStr">
        <is>
          <t>Resolved</t>
        </is>
      </c>
      <c r="L5" s="16">
        <f>COUNTIF($G$5:$G$204,"Resolved")</f>
        <v/>
      </c>
    </row>
    <row r="6" ht="15" customHeight="1" s="24">
      <c r="A6" s="13">
        <f>IF(B6="","","DEF-"&amp;TEXT(ROW()-4,"0000"))</f>
        <v/>
      </c>
      <c r="B6" s="13" t="n"/>
      <c r="C6" s="13" t="n"/>
      <c r="D6" s="13" t="n"/>
      <c r="E6" s="13" t="n"/>
      <c r="F6" s="13" t="n"/>
      <c r="G6" s="13" t="n"/>
      <c r="H6" s="13" t="n"/>
      <c r="I6" s="13" t="n"/>
      <c r="K6" s="15" t="inlineStr">
        <is>
          <t>Closed</t>
        </is>
      </c>
      <c r="L6" s="16">
        <f>COUNTIF($G$5:$G$204,"Closed")</f>
        <v/>
      </c>
    </row>
    <row r="7" ht="15" customHeight="1" s="24">
      <c r="A7" s="13">
        <f>IF(B7="","","DEF-"&amp;TEXT(ROW()-4,"0000"))</f>
        <v/>
      </c>
      <c r="B7" s="13" t="n"/>
      <c r="C7" s="13" t="n"/>
      <c r="D7" s="13" t="n"/>
      <c r="E7" s="13" t="n"/>
      <c r="F7" s="13" t="n"/>
      <c r="G7" s="13" t="n"/>
      <c r="H7" s="13" t="n"/>
      <c r="I7" s="13" t="n"/>
      <c r="K7" s="15" t="inlineStr">
        <is>
          <t>Critical</t>
        </is>
      </c>
      <c r="L7" s="16">
        <f>COUNTIF($F$5:$F$204,"Critical")</f>
        <v/>
      </c>
    </row>
    <row r="8" ht="15" customHeight="1" s="24">
      <c r="A8" s="13">
        <f>IF(B8="","","DEF-"&amp;TEXT(ROW()-4,"0000"))</f>
        <v/>
      </c>
      <c r="B8" s="13" t="n"/>
      <c r="C8" s="13" t="n"/>
      <c r="D8" s="13" t="n"/>
      <c r="E8" s="13" t="n"/>
      <c r="F8" s="13" t="n"/>
      <c r="G8" s="13" t="n"/>
      <c r="H8" s="13" t="n"/>
      <c r="I8" s="13" t="n"/>
      <c r="K8" s="15" t="inlineStr">
        <is>
          <t>High</t>
        </is>
      </c>
      <c r="L8" s="16">
        <f>COUNTIF($F$5:$F$204,"High")</f>
        <v/>
      </c>
    </row>
    <row r="9" ht="14.25" customHeight="1" s="24">
      <c r="A9" s="13">
        <f>IF(B9="","","DEF-"&amp;TEXT(ROW()-4,"0000"))</f>
        <v/>
      </c>
      <c r="B9" s="13" t="n"/>
      <c r="C9" s="13" t="n"/>
      <c r="D9" s="13" t="n"/>
      <c r="E9" s="13" t="n"/>
      <c r="F9" s="13" t="n"/>
      <c r="G9" s="13" t="n"/>
      <c r="H9" s="13" t="n"/>
      <c r="I9" s="13" t="n"/>
      <c r="K9" s="6" t="n"/>
      <c r="L9" s="6" t="n"/>
    </row>
    <row r="10" ht="14.25" customHeight="1" s="24">
      <c r="A10" s="13">
        <f>IF(B10="","","DEF-"&amp;TEXT(ROW()-4,"0000"))</f>
        <v/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K10" s="6" t="n"/>
      <c r="L10" s="6" t="n"/>
    </row>
    <row r="11" ht="14.25" customHeight="1" s="24">
      <c r="A11" s="13">
        <f>IF(B11="","","DEF-"&amp;TEXT(ROW()-4,"0000"))</f>
        <v/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K11" s="6" t="n"/>
      <c r="L11" s="6" t="n"/>
    </row>
    <row r="12" ht="14.25" customHeight="1" s="24">
      <c r="A12" s="13">
        <f>IF(B12="","","DEF-"&amp;TEXT(ROW()-4,"0000"))</f>
        <v/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K12" s="6" t="n"/>
      <c r="L12" s="6" t="n"/>
    </row>
    <row r="13" ht="14.25" customHeight="1" s="24">
      <c r="A13" s="13">
        <f>IF(B13="","","DEF-"&amp;TEXT(ROW()-4,"0000"))</f>
        <v/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K13" s="6" t="n"/>
      <c r="L13" s="6" t="n"/>
    </row>
    <row r="14" ht="14.25" customHeight="1" s="24">
      <c r="A14" s="13">
        <f>IF(B14="","","DEF-"&amp;TEXT(ROW()-4,"0000"))</f>
        <v/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K14" s="6" t="n"/>
      <c r="L14" s="6" t="n"/>
    </row>
    <row r="15" ht="14.25" customHeight="1" s="24">
      <c r="A15" s="13">
        <f>IF(B15="","","DEF-"&amp;TEXT(ROW()-4,"0000"))</f>
        <v/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K15" s="6" t="n"/>
      <c r="L15" s="6" t="n"/>
    </row>
    <row r="16" ht="14.25" customHeight="1" s="24">
      <c r="A16" s="13">
        <f>IF(B16="","","DEF-"&amp;TEXT(ROW()-4,"0000"))</f>
        <v/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K16" s="6" t="n"/>
      <c r="L16" s="6" t="n"/>
    </row>
    <row r="17" ht="14.25" customHeight="1" s="24">
      <c r="A17" s="13">
        <f>IF(B17="","","DEF-"&amp;TEXT(ROW()-4,"0000"))</f>
        <v/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K17" s="6" t="n"/>
      <c r="L17" s="6" t="n"/>
    </row>
    <row r="18" ht="14.25" customHeight="1" s="24">
      <c r="A18" s="13">
        <f>IF(B18="","","DEF-"&amp;TEXT(ROW()-4,"0000"))</f>
        <v/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K18" s="6" t="n"/>
      <c r="L18" s="6" t="n"/>
    </row>
    <row r="19" ht="14.25" customHeight="1" s="24">
      <c r="A19" s="13">
        <f>IF(B19="","","DEF-"&amp;TEXT(ROW()-4,"0000"))</f>
        <v/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K19" s="6" t="n"/>
      <c r="L19" s="6" t="n"/>
    </row>
    <row r="20" ht="14.25" customHeight="1" s="24">
      <c r="A20" s="13">
        <f>IF(B20="","","DEF-"&amp;TEXT(ROW()-4,"0000"))</f>
        <v/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K20" s="6" t="n"/>
      <c r="L20" s="6" t="n"/>
    </row>
    <row r="21" ht="14.25" customHeight="1" s="24">
      <c r="A21" s="13">
        <f>IF(B21="","","DEF-"&amp;TEXT(ROW()-4,"0000"))</f>
        <v/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K21" s="6" t="n"/>
      <c r="L21" s="6" t="n"/>
    </row>
    <row r="22" ht="14.25" customHeight="1" s="24">
      <c r="A22" s="13">
        <f>IF(B22="","","DEF-"&amp;TEXT(ROW()-4,"0000"))</f>
        <v/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K22" s="6" t="n"/>
      <c r="L22" s="6" t="n"/>
    </row>
    <row r="23" ht="14.25" customHeight="1" s="24">
      <c r="A23" s="13">
        <f>IF(B23="","","DEF-"&amp;TEXT(ROW()-4,"0000"))</f>
        <v/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K23" s="6" t="n"/>
      <c r="L23" s="6" t="n"/>
    </row>
    <row r="24" ht="14.25" customHeight="1" s="24">
      <c r="A24" s="13">
        <f>IF(B24="","","DEF-"&amp;TEXT(ROW()-4,"0000"))</f>
        <v/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K24" s="6" t="n"/>
      <c r="L24" s="6" t="n"/>
    </row>
    <row r="25" ht="14.25" customHeight="1" s="24">
      <c r="A25" s="13">
        <f>IF(B25="","","DEF-"&amp;TEXT(ROW()-4,"0000"))</f>
        <v/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K25" s="6" t="n"/>
      <c r="L25" s="6" t="n"/>
    </row>
    <row r="26" ht="14.25" customHeight="1" s="24">
      <c r="A26" s="13">
        <f>IF(B26="","","DEF-"&amp;TEXT(ROW()-4,"0000"))</f>
        <v/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K26" s="6" t="n"/>
      <c r="L26" s="6" t="n"/>
    </row>
    <row r="27" ht="14.25" customHeight="1" s="24">
      <c r="A27" s="13">
        <f>IF(B27="","","DEF-"&amp;TEXT(ROW()-4,"0000"))</f>
        <v/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K27" s="6" t="n"/>
      <c r="L27" s="6" t="n"/>
    </row>
    <row r="28" ht="14.25" customHeight="1" s="24">
      <c r="A28" s="13">
        <f>IF(B28="","","DEF-"&amp;TEXT(ROW()-4,"0000"))</f>
        <v/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K28" s="6" t="n"/>
      <c r="L28" s="6" t="n"/>
    </row>
    <row r="29" ht="14.25" customHeight="1" s="24">
      <c r="A29" s="13">
        <f>IF(B29="","","DEF-"&amp;TEXT(ROW()-4,"0000"))</f>
        <v/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K29" s="6" t="n"/>
      <c r="L29" s="6" t="n"/>
    </row>
    <row r="30" ht="14.25" customHeight="1" s="24">
      <c r="A30" s="13">
        <f>IF(B30="","","DEF-"&amp;TEXT(ROW()-4,"0000"))</f>
        <v/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K30" s="6" t="n"/>
      <c r="L30" s="6" t="n"/>
    </row>
    <row r="31" ht="14.25" customHeight="1" s="24">
      <c r="A31" s="13">
        <f>IF(B31="","","DEF-"&amp;TEXT(ROW()-4,"0000"))</f>
        <v/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K31" s="6" t="n"/>
      <c r="L31" s="6" t="n"/>
    </row>
    <row r="32" ht="14.25" customHeight="1" s="24">
      <c r="A32" s="13">
        <f>IF(B32="","","DEF-"&amp;TEXT(ROW()-4,"0000"))</f>
        <v/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K32" s="6" t="n"/>
      <c r="L32" s="6" t="n"/>
    </row>
    <row r="33" ht="14.25" customHeight="1" s="24">
      <c r="A33" s="13">
        <f>IF(B33="","","DEF-"&amp;TEXT(ROW()-4,"0000"))</f>
        <v/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K33" s="6" t="n"/>
      <c r="L33" s="6" t="n"/>
    </row>
    <row r="34" ht="14.25" customHeight="1" s="24">
      <c r="A34" s="13">
        <f>IF(B34="","","DEF-"&amp;TEXT(ROW()-4,"0000"))</f>
        <v/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K34" s="6" t="n"/>
      <c r="L34" s="6" t="n"/>
    </row>
    <row r="35" ht="14.25" customHeight="1" s="24">
      <c r="A35" s="13">
        <f>IF(B35="","","DEF-"&amp;TEXT(ROW()-4,"0000"))</f>
        <v/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K35" s="6" t="n"/>
      <c r="L35" s="6" t="n"/>
    </row>
    <row r="36" ht="14.25" customHeight="1" s="24">
      <c r="A36" s="13">
        <f>IF(B36="","","DEF-"&amp;TEXT(ROW()-4,"0000"))</f>
        <v/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K36" s="6" t="n"/>
      <c r="L36" s="6" t="n"/>
    </row>
    <row r="37" ht="14.25" customHeight="1" s="24">
      <c r="A37" s="13">
        <f>IF(B37="","","DEF-"&amp;TEXT(ROW()-4,"0000"))</f>
        <v/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K37" s="6" t="n"/>
      <c r="L37" s="6" t="n"/>
    </row>
    <row r="38" ht="14.25" customHeight="1" s="24">
      <c r="A38" s="13">
        <f>IF(B38="","","DEF-"&amp;TEXT(ROW()-4,"0000"))</f>
        <v/>
      </c>
      <c r="B38" s="13" t="n"/>
      <c r="C38" s="13" t="n"/>
      <c r="D38" s="13" t="n"/>
      <c r="E38" s="13" t="n"/>
      <c r="F38" s="13" t="n"/>
      <c r="G38" s="13" t="n"/>
      <c r="H38" s="13" t="n"/>
      <c r="I38" s="13" t="n"/>
      <c r="K38" s="6" t="n"/>
      <c r="L38" s="6" t="n"/>
    </row>
    <row r="39" ht="14.25" customHeight="1" s="24">
      <c r="A39" s="13">
        <f>IF(B39="","","DEF-"&amp;TEXT(ROW()-4,"0000"))</f>
        <v/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K39" s="6" t="n"/>
      <c r="L39" s="6" t="n"/>
    </row>
    <row r="40" ht="14.25" customHeight="1" s="24">
      <c r="A40" s="13">
        <f>IF(B40="","","DEF-"&amp;TEXT(ROW()-4,"0000"))</f>
        <v/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K40" s="6" t="n"/>
      <c r="L40" s="6" t="n"/>
    </row>
    <row r="41" ht="14.25" customHeight="1" s="24">
      <c r="A41" s="13">
        <f>IF(B41="","","DEF-"&amp;TEXT(ROW()-4,"0000"))</f>
        <v/>
      </c>
      <c r="B41" s="13" t="n"/>
      <c r="C41" s="13" t="n"/>
      <c r="D41" s="13" t="n"/>
      <c r="E41" s="13" t="n"/>
      <c r="F41" s="13" t="n"/>
      <c r="G41" s="13" t="n"/>
      <c r="H41" s="13" t="n"/>
      <c r="I41" s="13" t="n"/>
      <c r="K41" s="6" t="n"/>
      <c r="L41" s="6" t="n"/>
    </row>
    <row r="42" ht="14.25" customHeight="1" s="24">
      <c r="A42" s="13">
        <f>IF(B42="","","DEF-"&amp;TEXT(ROW()-4,"0000"))</f>
        <v/>
      </c>
      <c r="B42" s="13" t="n"/>
      <c r="C42" s="13" t="n"/>
      <c r="D42" s="13" t="n"/>
      <c r="E42" s="13" t="n"/>
      <c r="F42" s="13" t="n"/>
      <c r="G42" s="13" t="n"/>
      <c r="H42" s="13" t="n"/>
      <c r="I42" s="13" t="n"/>
      <c r="K42" s="6" t="n"/>
      <c r="L42" s="6" t="n"/>
    </row>
    <row r="43" ht="14.25" customHeight="1" s="24">
      <c r="A43" s="13">
        <f>IF(B43="","","DEF-"&amp;TEXT(ROW()-4,"0000"))</f>
        <v/>
      </c>
      <c r="B43" s="13" t="n"/>
      <c r="C43" s="13" t="n"/>
      <c r="D43" s="13" t="n"/>
      <c r="E43" s="13" t="n"/>
      <c r="F43" s="13" t="n"/>
      <c r="G43" s="13" t="n"/>
      <c r="H43" s="13" t="n"/>
      <c r="I43" s="13" t="n"/>
      <c r="K43" s="6" t="n"/>
      <c r="L43" s="6" t="n"/>
    </row>
    <row r="44" ht="14.25" customHeight="1" s="24">
      <c r="A44" s="13">
        <f>IF(B44="","","DEF-"&amp;TEXT(ROW()-4,"0000"))</f>
        <v/>
      </c>
      <c r="B44" s="13" t="n"/>
      <c r="C44" s="13" t="n"/>
      <c r="D44" s="13" t="n"/>
      <c r="E44" s="13" t="n"/>
      <c r="F44" s="13" t="n"/>
      <c r="G44" s="13" t="n"/>
      <c r="H44" s="13" t="n"/>
      <c r="I44" s="13" t="n"/>
      <c r="K44" s="6" t="n"/>
      <c r="L44" s="6" t="n"/>
    </row>
    <row r="45" ht="14.25" customHeight="1" s="24">
      <c r="A45" s="13">
        <f>IF(B45="","","DEF-"&amp;TEXT(ROW()-4,"0000"))</f>
        <v/>
      </c>
      <c r="B45" s="13" t="n"/>
      <c r="C45" s="13" t="n"/>
      <c r="D45" s="13" t="n"/>
      <c r="E45" s="13" t="n"/>
      <c r="F45" s="13" t="n"/>
      <c r="G45" s="13" t="n"/>
      <c r="H45" s="13" t="n"/>
      <c r="I45" s="13" t="n"/>
      <c r="K45" s="6" t="n"/>
      <c r="L45" s="6" t="n"/>
    </row>
    <row r="46" ht="14.25" customHeight="1" s="24">
      <c r="A46" s="13">
        <f>IF(B46="","","DEF-"&amp;TEXT(ROW()-4,"0000"))</f>
        <v/>
      </c>
      <c r="B46" s="13" t="n"/>
      <c r="C46" s="13" t="n"/>
      <c r="D46" s="13" t="n"/>
      <c r="E46" s="13" t="n"/>
      <c r="F46" s="13" t="n"/>
      <c r="G46" s="13" t="n"/>
      <c r="H46" s="13" t="n"/>
      <c r="I46" s="13" t="n"/>
      <c r="K46" s="6" t="n"/>
      <c r="L46" s="6" t="n"/>
    </row>
    <row r="47" ht="14.25" customHeight="1" s="24">
      <c r="A47" s="13">
        <f>IF(B47="","","DEF-"&amp;TEXT(ROW()-4,"0000"))</f>
        <v/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K47" s="6" t="n"/>
      <c r="L47" s="6" t="n"/>
    </row>
    <row r="48" ht="14.25" customHeight="1" s="24">
      <c r="A48" s="13">
        <f>IF(B48="","","DEF-"&amp;TEXT(ROW()-4,"0000"))</f>
        <v/>
      </c>
      <c r="B48" s="13" t="n"/>
      <c r="C48" s="13" t="n"/>
      <c r="D48" s="13" t="n"/>
      <c r="E48" s="13" t="n"/>
      <c r="F48" s="13" t="n"/>
      <c r="G48" s="13" t="n"/>
      <c r="H48" s="13" t="n"/>
      <c r="I48" s="13" t="n"/>
      <c r="K48" s="6" t="n"/>
      <c r="L48" s="6" t="n"/>
    </row>
    <row r="49" ht="14.25" customHeight="1" s="24">
      <c r="A49" s="13">
        <f>IF(B49="","","DEF-"&amp;TEXT(ROW()-4,"0000"))</f>
        <v/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K49" s="6" t="n"/>
      <c r="L49" s="6" t="n"/>
    </row>
    <row r="50" ht="14.25" customHeight="1" s="24">
      <c r="A50" s="13">
        <f>IF(B50="","","DEF-"&amp;TEXT(ROW()-4,"0000"))</f>
        <v/>
      </c>
      <c r="B50" s="13" t="n"/>
      <c r="C50" s="13" t="n"/>
      <c r="D50" s="13" t="n"/>
      <c r="E50" s="13" t="n"/>
      <c r="F50" s="13" t="n"/>
      <c r="G50" s="13" t="n"/>
      <c r="H50" s="13" t="n"/>
      <c r="I50" s="13" t="n"/>
      <c r="K50" s="6" t="n"/>
      <c r="L50" s="6" t="n"/>
    </row>
    <row r="51" ht="14.25" customHeight="1" s="24">
      <c r="A51" s="13">
        <f>IF(B51="","","DEF-"&amp;TEXT(ROW()-4,"0000"))</f>
        <v/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K51" s="6" t="n"/>
      <c r="L51" s="6" t="n"/>
    </row>
    <row r="52" ht="14.25" customHeight="1" s="24">
      <c r="A52" s="13">
        <f>IF(B52="","","DEF-"&amp;TEXT(ROW()-4,"0000"))</f>
        <v/>
      </c>
      <c r="B52" s="13" t="n"/>
      <c r="C52" s="13" t="n"/>
      <c r="D52" s="13" t="n"/>
      <c r="E52" s="13" t="n"/>
      <c r="F52" s="13" t="n"/>
      <c r="G52" s="13" t="n"/>
      <c r="H52" s="13" t="n"/>
      <c r="I52" s="13" t="n"/>
      <c r="K52" s="6" t="n"/>
      <c r="L52" s="6" t="n"/>
    </row>
    <row r="53" ht="14.25" customHeight="1" s="24">
      <c r="A53" s="13">
        <f>IF(B53="","","DEF-"&amp;TEXT(ROW()-4,"0000"))</f>
        <v/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K53" s="6" t="n"/>
      <c r="L53" s="6" t="n"/>
    </row>
    <row r="54" ht="14.25" customHeight="1" s="24">
      <c r="A54" s="13">
        <f>IF(B54="","","DEF-"&amp;TEXT(ROW()-4,"0000"))</f>
        <v/>
      </c>
      <c r="B54" s="13" t="n"/>
      <c r="C54" s="13" t="n"/>
      <c r="D54" s="13" t="n"/>
      <c r="E54" s="13" t="n"/>
      <c r="F54" s="13" t="n"/>
      <c r="G54" s="13" t="n"/>
      <c r="H54" s="13" t="n"/>
      <c r="I54" s="13" t="n"/>
      <c r="K54" s="6" t="n"/>
      <c r="L54" s="6" t="n"/>
    </row>
    <row r="55" ht="14.25" customHeight="1" s="24">
      <c r="A55" s="13">
        <f>IF(B55="","","DEF-"&amp;TEXT(ROW()-4,"0000"))</f>
        <v/>
      </c>
      <c r="B55" s="13" t="n"/>
      <c r="C55" s="13" t="n"/>
      <c r="D55" s="13" t="n"/>
      <c r="E55" s="13" t="n"/>
      <c r="F55" s="13" t="n"/>
      <c r="G55" s="13" t="n"/>
      <c r="H55" s="13" t="n"/>
      <c r="I55" s="13" t="n"/>
      <c r="K55" s="6" t="n"/>
      <c r="L55" s="6" t="n"/>
    </row>
    <row r="56" ht="14.25" customHeight="1" s="24">
      <c r="A56" s="13">
        <f>IF(B56="","","DEF-"&amp;TEXT(ROW()-4,"0000"))</f>
        <v/>
      </c>
      <c r="B56" s="13" t="n"/>
      <c r="C56" s="13" t="n"/>
      <c r="D56" s="13" t="n"/>
      <c r="E56" s="13" t="n"/>
      <c r="F56" s="13" t="n"/>
      <c r="G56" s="13" t="n"/>
      <c r="H56" s="13" t="n"/>
      <c r="I56" s="13" t="n"/>
      <c r="K56" s="6" t="n"/>
      <c r="L56" s="6" t="n"/>
    </row>
    <row r="57" ht="14.25" customHeight="1" s="24">
      <c r="A57" s="13">
        <f>IF(B57="","","DEF-"&amp;TEXT(ROW()-4,"0000"))</f>
        <v/>
      </c>
      <c r="B57" s="13" t="n"/>
      <c r="C57" s="13" t="n"/>
      <c r="D57" s="13" t="n"/>
      <c r="E57" s="13" t="n"/>
      <c r="F57" s="13" t="n"/>
      <c r="G57" s="13" t="n"/>
      <c r="H57" s="13" t="n"/>
      <c r="I57" s="13" t="n"/>
      <c r="K57" s="6" t="n"/>
      <c r="L57" s="6" t="n"/>
    </row>
    <row r="58" ht="14.25" customHeight="1" s="24">
      <c r="A58" s="13">
        <f>IF(B58="","","DEF-"&amp;TEXT(ROW()-4,"0000"))</f>
        <v/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K58" s="6" t="n"/>
      <c r="L58" s="6" t="n"/>
    </row>
    <row r="59" ht="14.25" customHeight="1" s="24">
      <c r="A59" s="13">
        <f>IF(B59="","","DEF-"&amp;TEXT(ROW()-4,"0000"))</f>
        <v/>
      </c>
      <c r="B59" s="13" t="n"/>
      <c r="C59" s="13" t="n"/>
      <c r="D59" s="13" t="n"/>
      <c r="E59" s="13" t="n"/>
      <c r="F59" s="13" t="n"/>
      <c r="G59" s="13" t="n"/>
      <c r="H59" s="13" t="n"/>
      <c r="I59" s="13" t="n"/>
      <c r="K59" s="6" t="n"/>
      <c r="L59" s="6" t="n"/>
    </row>
    <row r="60" ht="14.25" customHeight="1" s="24">
      <c r="A60" s="13">
        <f>IF(B60="","","DEF-"&amp;TEXT(ROW()-4,"0000"))</f>
        <v/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K60" s="6" t="n"/>
      <c r="L60" s="6" t="n"/>
    </row>
    <row r="61" ht="14.25" customHeight="1" s="24">
      <c r="A61" s="13">
        <f>IF(B61="","","DEF-"&amp;TEXT(ROW()-4,"0000"))</f>
        <v/>
      </c>
      <c r="B61" s="13" t="n"/>
      <c r="C61" s="13" t="n"/>
      <c r="D61" s="13" t="n"/>
      <c r="E61" s="13" t="n"/>
      <c r="F61" s="13" t="n"/>
      <c r="G61" s="13" t="n"/>
      <c r="H61" s="13" t="n"/>
      <c r="I61" s="13" t="n"/>
      <c r="K61" s="6" t="n"/>
      <c r="L61" s="6" t="n"/>
    </row>
    <row r="62" ht="14.25" customHeight="1" s="24">
      <c r="A62" s="13">
        <f>IF(B62="","","DEF-"&amp;TEXT(ROW()-4,"0000"))</f>
        <v/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K62" s="6" t="n"/>
      <c r="L62" s="6" t="n"/>
    </row>
    <row r="63" ht="14.25" customHeight="1" s="24">
      <c r="A63" s="13">
        <f>IF(B63="","","DEF-"&amp;TEXT(ROW()-4,"0000"))</f>
        <v/>
      </c>
      <c r="B63" s="13" t="n"/>
      <c r="C63" s="13" t="n"/>
      <c r="D63" s="13" t="n"/>
      <c r="E63" s="13" t="n"/>
      <c r="F63" s="13" t="n"/>
      <c r="G63" s="13" t="n"/>
      <c r="H63" s="13" t="n"/>
      <c r="I63" s="13" t="n"/>
      <c r="K63" s="6" t="n"/>
      <c r="L63" s="6" t="n"/>
    </row>
    <row r="64" ht="14.25" customHeight="1" s="24">
      <c r="A64" s="13">
        <f>IF(B64="","","DEF-"&amp;TEXT(ROW()-4,"0000"))</f>
        <v/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K64" s="6" t="n"/>
      <c r="L64" s="6" t="n"/>
    </row>
    <row r="65" ht="14.25" customHeight="1" s="24">
      <c r="A65" s="13">
        <f>IF(B65="","","DEF-"&amp;TEXT(ROW()-4,"0000"))</f>
        <v/>
      </c>
      <c r="B65" s="13" t="n"/>
      <c r="C65" s="13" t="n"/>
      <c r="D65" s="13" t="n"/>
      <c r="E65" s="13" t="n"/>
      <c r="F65" s="13" t="n"/>
      <c r="G65" s="13" t="n"/>
      <c r="H65" s="13" t="n"/>
      <c r="I65" s="13" t="n"/>
      <c r="K65" s="6" t="n"/>
      <c r="L65" s="6" t="n"/>
    </row>
    <row r="66" ht="14.25" customHeight="1" s="24">
      <c r="A66" s="13">
        <f>IF(B66="","","DEF-"&amp;TEXT(ROW()-4,"0000"))</f>
        <v/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K66" s="6" t="n"/>
      <c r="L66" s="6" t="n"/>
    </row>
    <row r="67" ht="14.25" customHeight="1" s="24">
      <c r="A67" s="13">
        <f>IF(B67="","","DEF-"&amp;TEXT(ROW()-4,"0000"))</f>
        <v/>
      </c>
      <c r="B67" s="13" t="n"/>
      <c r="C67" s="13" t="n"/>
      <c r="D67" s="13" t="n"/>
      <c r="E67" s="13" t="n"/>
      <c r="F67" s="13" t="n"/>
      <c r="G67" s="13" t="n"/>
      <c r="H67" s="13" t="n"/>
      <c r="I67" s="13" t="n"/>
      <c r="K67" s="6" t="n"/>
      <c r="L67" s="6" t="n"/>
    </row>
    <row r="68" ht="14.25" customHeight="1" s="24">
      <c r="A68" s="13">
        <f>IF(B68="","","DEF-"&amp;TEXT(ROW()-4,"0000"))</f>
        <v/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K68" s="6" t="n"/>
      <c r="L68" s="6" t="n"/>
    </row>
    <row r="69" ht="14.25" customHeight="1" s="24">
      <c r="A69" s="13">
        <f>IF(B69="","","DEF-"&amp;TEXT(ROW()-4,"0000"))</f>
        <v/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K69" s="6" t="n"/>
      <c r="L69" s="6" t="n"/>
    </row>
    <row r="70" ht="14.25" customHeight="1" s="24">
      <c r="A70" s="13">
        <f>IF(B70="","","DEF-"&amp;TEXT(ROW()-4,"0000"))</f>
        <v/>
      </c>
      <c r="B70" s="13" t="n"/>
      <c r="C70" s="13" t="n"/>
      <c r="D70" s="13" t="n"/>
      <c r="E70" s="13" t="n"/>
      <c r="F70" s="13" t="n"/>
      <c r="G70" s="13" t="n"/>
      <c r="H70" s="13" t="n"/>
      <c r="I70" s="13" t="n"/>
      <c r="K70" s="6" t="n"/>
      <c r="L70" s="6" t="n"/>
    </row>
    <row r="71" ht="14.25" customHeight="1" s="24">
      <c r="A71" s="13">
        <f>IF(B71="","","DEF-"&amp;TEXT(ROW()-4,"0000"))</f>
        <v/>
      </c>
      <c r="B71" s="13" t="n"/>
      <c r="C71" s="13" t="n"/>
      <c r="D71" s="13" t="n"/>
      <c r="E71" s="13" t="n"/>
      <c r="F71" s="13" t="n"/>
      <c r="G71" s="13" t="n"/>
      <c r="H71" s="13" t="n"/>
      <c r="I71" s="13" t="n"/>
      <c r="K71" s="6" t="n"/>
      <c r="L71" s="6" t="n"/>
    </row>
    <row r="72" ht="14.25" customHeight="1" s="24">
      <c r="A72" s="13">
        <f>IF(B72="","","DEF-"&amp;TEXT(ROW()-4,"0000"))</f>
        <v/>
      </c>
      <c r="B72" s="13" t="n"/>
      <c r="C72" s="13" t="n"/>
      <c r="D72" s="13" t="n"/>
      <c r="E72" s="13" t="n"/>
      <c r="F72" s="13" t="n"/>
      <c r="G72" s="13" t="n"/>
      <c r="H72" s="13" t="n"/>
      <c r="I72" s="13" t="n"/>
      <c r="K72" s="6" t="n"/>
      <c r="L72" s="6" t="n"/>
    </row>
    <row r="73" ht="14.25" customHeight="1" s="24">
      <c r="A73" s="13">
        <f>IF(B73="","","DEF-"&amp;TEXT(ROW()-4,"0000"))</f>
        <v/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K73" s="6" t="n"/>
      <c r="L73" s="6" t="n"/>
    </row>
    <row r="74" ht="14.25" customHeight="1" s="24">
      <c r="A74" s="13">
        <f>IF(B74="","","DEF-"&amp;TEXT(ROW()-4,"0000"))</f>
        <v/>
      </c>
      <c r="B74" s="13" t="n"/>
      <c r="C74" s="13" t="n"/>
      <c r="D74" s="13" t="n"/>
      <c r="E74" s="13" t="n"/>
      <c r="F74" s="13" t="n"/>
      <c r="G74" s="13" t="n"/>
      <c r="H74" s="13" t="n"/>
      <c r="I74" s="13" t="n"/>
      <c r="K74" s="6" t="n"/>
      <c r="L74" s="6" t="n"/>
    </row>
    <row r="75" ht="14.25" customHeight="1" s="24">
      <c r="A75" s="13">
        <f>IF(B75="","","DEF-"&amp;TEXT(ROW()-4,"0000"))</f>
        <v/>
      </c>
      <c r="B75" s="13" t="n"/>
      <c r="C75" s="13" t="n"/>
      <c r="D75" s="13" t="n"/>
      <c r="E75" s="13" t="n"/>
      <c r="F75" s="13" t="n"/>
      <c r="G75" s="13" t="n"/>
      <c r="H75" s="13" t="n"/>
      <c r="I75" s="13" t="n"/>
      <c r="K75" s="6" t="n"/>
      <c r="L75" s="6" t="n"/>
    </row>
    <row r="76" ht="14.25" customHeight="1" s="24">
      <c r="A76" s="13">
        <f>IF(B76="","","DEF-"&amp;TEXT(ROW()-4,"0000"))</f>
        <v/>
      </c>
      <c r="B76" s="13" t="n"/>
      <c r="C76" s="13" t="n"/>
      <c r="D76" s="13" t="n"/>
      <c r="E76" s="13" t="n"/>
      <c r="F76" s="13" t="n"/>
      <c r="G76" s="13" t="n"/>
      <c r="H76" s="13" t="n"/>
      <c r="I76" s="13" t="n"/>
      <c r="K76" s="6" t="n"/>
      <c r="L76" s="6" t="n"/>
    </row>
    <row r="77" ht="14.25" customHeight="1" s="24">
      <c r="A77" s="13">
        <f>IF(B77="","","DEF-"&amp;TEXT(ROW()-4,"0000"))</f>
        <v/>
      </c>
      <c r="B77" s="13" t="n"/>
      <c r="C77" s="13" t="n"/>
      <c r="D77" s="13" t="n"/>
      <c r="E77" s="13" t="n"/>
      <c r="F77" s="13" t="n"/>
      <c r="G77" s="13" t="n"/>
      <c r="H77" s="13" t="n"/>
      <c r="I77" s="13" t="n"/>
      <c r="K77" s="6" t="n"/>
      <c r="L77" s="6" t="n"/>
    </row>
    <row r="78" ht="14.25" customHeight="1" s="24">
      <c r="A78" s="13">
        <f>IF(B78="","","DEF-"&amp;TEXT(ROW()-4,"0000"))</f>
        <v/>
      </c>
      <c r="B78" s="13" t="n"/>
      <c r="C78" s="13" t="n"/>
      <c r="D78" s="13" t="n"/>
      <c r="E78" s="13" t="n"/>
      <c r="F78" s="13" t="n"/>
      <c r="G78" s="13" t="n"/>
      <c r="H78" s="13" t="n"/>
      <c r="I78" s="13" t="n"/>
      <c r="K78" s="6" t="n"/>
      <c r="L78" s="6" t="n"/>
    </row>
    <row r="79" ht="14.25" customHeight="1" s="24">
      <c r="A79" s="13">
        <f>IF(B79="","","DEF-"&amp;TEXT(ROW()-4,"0000"))</f>
        <v/>
      </c>
      <c r="B79" s="13" t="n"/>
      <c r="C79" s="13" t="n"/>
      <c r="D79" s="13" t="n"/>
      <c r="E79" s="13" t="n"/>
      <c r="F79" s="13" t="n"/>
      <c r="G79" s="13" t="n"/>
      <c r="H79" s="13" t="n"/>
      <c r="I79" s="13" t="n"/>
      <c r="K79" s="6" t="n"/>
      <c r="L79" s="6" t="n"/>
    </row>
    <row r="80" ht="14.25" customHeight="1" s="24">
      <c r="A80" s="13">
        <f>IF(B80="","","DEF-"&amp;TEXT(ROW()-4,"0000"))</f>
        <v/>
      </c>
      <c r="B80" s="13" t="n"/>
      <c r="C80" s="13" t="n"/>
      <c r="D80" s="13" t="n"/>
      <c r="E80" s="13" t="n"/>
      <c r="F80" s="13" t="n"/>
      <c r="G80" s="13" t="n"/>
      <c r="H80" s="13" t="n"/>
      <c r="I80" s="13" t="n"/>
      <c r="K80" s="6" t="n"/>
      <c r="L80" s="6" t="n"/>
    </row>
    <row r="81" ht="14.25" customHeight="1" s="24">
      <c r="A81" s="13">
        <f>IF(B81="","","DEF-"&amp;TEXT(ROW()-4,"0000"))</f>
        <v/>
      </c>
      <c r="B81" s="13" t="n"/>
      <c r="C81" s="13" t="n"/>
      <c r="D81" s="13" t="n"/>
      <c r="E81" s="13" t="n"/>
      <c r="F81" s="13" t="n"/>
      <c r="G81" s="13" t="n"/>
      <c r="H81" s="13" t="n"/>
      <c r="I81" s="13" t="n"/>
      <c r="K81" s="6" t="n"/>
      <c r="L81" s="6" t="n"/>
    </row>
    <row r="82" ht="14.25" customHeight="1" s="24">
      <c r="A82" s="13">
        <f>IF(B82="","","DEF-"&amp;TEXT(ROW()-4,"0000"))</f>
        <v/>
      </c>
      <c r="B82" s="13" t="n"/>
      <c r="C82" s="13" t="n"/>
      <c r="D82" s="13" t="n"/>
      <c r="E82" s="13" t="n"/>
      <c r="F82" s="13" t="n"/>
      <c r="G82" s="13" t="n"/>
      <c r="H82" s="13" t="n"/>
      <c r="I82" s="13" t="n"/>
      <c r="K82" s="6" t="n"/>
      <c r="L82" s="6" t="n"/>
    </row>
    <row r="83" ht="14.25" customHeight="1" s="24">
      <c r="A83" s="13">
        <f>IF(B83="","","DEF-"&amp;TEXT(ROW()-4,"0000"))</f>
        <v/>
      </c>
      <c r="B83" s="13" t="n"/>
      <c r="C83" s="13" t="n"/>
      <c r="D83" s="13" t="n"/>
      <c r="E83" s="13" t="n"/>
      <c r="F83" s="13" t="n"/>
      <c r="G83" s="13" t="n"/>
      <c r="H83" s="13" t="n"/>
      <c r="I83" s="13" t="n"/>
      <c r="K83" s="6" t="n"/>
      <c r="L83" s="6" t="n"/>
    </row>
    <row r="84" ht="14.25" customHeight="1" s="24">
      <c r="A84" s="13">
        <f>IF(B84="","","DEF-"&amp;TEXT(ROW()-4,"0000"))</f>
        <v/>
      </c>
      <c r="B84" s="13" t="n"/>
      <c r="C84" s="13" t="n"/>
      <c r="D84" s="13" t="n"/>
      <c r="E84" s="13" t="n"/>
      <c r="F84" s="13" t="n"/>
      <c r="G84" s="13" t="n"/>
      <c r="H84" s="13" t="n"/>
      <c r="I84" s="13" t="n"/>
      <c r="K84" s="6" t="n"/>
      <c r="L84" s="6" t="n"/>
    </row>
    <row r="85" ht="14.25" customHeight="1" s="24">
      <c r="A85" s="13">
        <f>IF(B85="","","DEF-"&amp;TEXT(ROW()-4,"0000"))</f>
        <v/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K85" s="6" t="n"/>
      <c r="L85" s="6" t="n"/>
    </row>
    <row r="86" ht="14.25" customHeight="1" s="24">
      <c r="A86" s="13">
        <f>IF(B86="","","DEF-"&amp;TEXT(ROW()-4,"0000"))</f>
        <v/>
      </c>
      <c r="B86" s="13" t="n"/>
      <c r="C86" s="13" t="n"/>
      <c r="D86" s="13" t="n"/>
      <c r="E86" s="13" t="n"/>
      <c r="F86" s="13" t="n"/>
      <c r="G86" s="13" t="n"/>
      <c r="H86" s="13" t="n"/>
      <c r="I86" s="13" t="n"/>
      <c r="K86" s="6" t="n"/>
      <c r="L86" s="6" t="n"/>
    </row>
    <row r="87" ht="14.25" customHeight="1" s="24">
      <c r="A87" s="13">
        <f>IF(B87="","","DEF-"&amp;TEXT(ROW()-4,"0000"))</f>
        <v/>
      </c>
      <c r="B87" s="13" t="n"/>
      <c r="C87" s="13" t="n"/>
      <c r="D87" s="13" t="n"/>
      <c r="E87" s="13" t="n"/>
      <c r="F87" s="13" t="n"/>
      <c r="G87" s="13" t="n"/>
      <c r="H87" s="13" t="n"/>
      <c r="I87" s="13" t="n"/>
      <c r="K87" s="6" t="n"/>
      <c r="L87" s="6" t="n"/>
    </row>
    <row r="88" ht="14.25" customHeight="1" s="24">
      <c r="A88" s="13">
        <f>IF(B88="","","DEF-"&amp;TEXT(ROW()-4,"0000"))</f>
        <v/>
      </c>
      <c r="B88" s="13" t="n"/>
      <c r="C88" s="13" t="n"/>
      <c r="D88" s="13" t="n"/>
      <c r="E88" s="13" t="n"/>
      <c r="F88" s="13" t="n"/>
      <c r="G88" s="13" t="n"/>
      <c r="H88" s="13" t="n"/>
      <c r="I88" s="13" t="n"/>
      <c r="K88" s="6" t="n"/>
      <c r="L88" s="6" t="n"/>
    </row>
    <row r="89" ht="14.25" customHeight="1" s="24">
      <c r="A89" s="13">
        <f>IF(B89="","","DEF-"&amp;TEXT(ROW()-4,"0000"))</f>
        <v/>
      </c>
      <c r="B89" s="13" t="n"/>
      <c r="C89" s="13" t="n"/>
      <c r="D89" s="13" t="n"/>
      <c r="E89" s="13" t="n"/>
      <c r="F89" s="13" t="n"/>
      <c r="G89" s="13" t="n"/>
      <c r="H89" s="13" t="n"/>
      <c r="I89" s="13" t="n"/>
      <c r="K89" s="6" t="n"/>
      <c r="L89" s="6" t="n"/>
    </row>
    <row r="90" ht="14.25" customHeight="1" s="24">
      <c r="A90" s="13">
        <f>IF(B90="","","DEF-"&amp;TEXT(ROW()-4,"0000"))</f>
        <v/>
      </c>
      <c r="B90" s="13" t="n"/>
      <c r="C90" s="13" t="n"/>
      <c r="D90" s="13" t="n"/>
      <c r="E90" s="13" t="n"/>
      <c r="F90" s="13" t="n"/>
      <c r="G90" s="13" t="n"/>
      <c r="H90" s="13" t="n"/>
      <c r="I90" s="13" t="n"/>
      <c r="K90" s="6" t="n"/>
      <c r="L90" s="6" t="n"/>
    </row>
    <row r="91" ht="14.25" customHeight="1" s="24">
      <c r="A91" s="13">
        <f>IF(B91="","","DEF-"&amp;TEXT(ROW()-4,"0000"))</f>
        <v/>
      </c>
      <c r="B91" s="13" t="n"/>
      <c r="C91" s="13" t="n"/>
      <c r="D91" s="13" t="n"/>
      <c r="E91" s="13" t="n"/>
      <c r="F91" s="13" t="n"/>
      <c r="G91" s="13" t="n"/>
      <c r="H91" s="13" t="n"/>
      <c r="I91" s="13" t="n"/>
      <c r="K91" s="6" t="n"/>
      <c r="L91" s="6" t="n"/>
    </row>
    <row r="92" ht="14.25" customHeight="1" s="24">
      <c r="A92" s="13">
        <f>IF(B92="","","DEF-"&amp;TEXT(ROW()-4,"0000"))</f>
        <v/>
      </c>
      <c r="B92" s="13" t="n"/>
      <c r="C92" s="13" t="n"/>
      <c r="D92" s="13" t="n"/>
      <c r="E92" s="13" t="n"/>
      <c r="F92" s="13" t="n"/>
      <c r="G92" s="13" t="n"/>
      <c r="H92" s="13" t="n"/>
      <c r="I92" s="13" t="n"/>
      <c r="K92" s="6" t="n"/>
      <c r="L92" s="6" t="n"/>
    </row>
    <row r="93" ht="14.25" customHeight="1" s="24">
      <c r="A93" s="13">
        <f>IF(B93="","","DEF-"&amp;TEXT(ROW()-4,"0000"))</f>
        <v/>
      </c>
      <c r="B93" s="13" t="n"/>
      <c r="C93" s="13" t="n"/>
      <c r="D93" s="13" t="n"/>
      <c r="E93" s="13" t="n"/>
      <c r="F93" s="13" t="n"/>
      <c r="G93" s="13" t="n"/>
      <c r="H93" s="13" t="n"/>
      <c r="I93" s="13" t="n"/>
      <c r="K93" s="6" t="n"/>
      <c r="L93" s="6" t="n"/>
    </row>
    <row r="94" ht="14.25" customHeight="1" s="24">
      <c r="A94" s="13">
        <f>IF(B94="","","DEF-"&amp;TEXT(ROW()-4,"0000"))</f>
        <v/>
      </c>
      <c r="B94" s="13" t="n"/>
      <c r="C94" s="13" t="n"/>
      <c r="D94" s="13" t="n"/>
      <c r="E94" s="13" t="n"/>
      <c r="F94" s="13" t="n"/>
      <c r="G94" s="13" t="n"/>
      <c r="H94" s="13" t="n"/>
      <c r="I94" s="13" t="n"/>
      <c r="K94" s="6" t="n"/>
      <c r="L94" s="6" t="n"/>
    </row>
    <row r="95" ht="14.25" customHeight="1" s="24">
      <c r="A95" s="13">
        <f>IF(B95="","","DEF-"&amp;TEXT(ROW()-4,"0000"))</f>
        <v/>
      </c>
      <c r="B95" s="13" t="n"/>
      <c r="C95" s="13" t="n"/>
      <c r="D95" s="13" t="n"/>
      <c r="E95" s="13" t="n"/>
      <c r="F95" s="13" t="n"/>
      <c r="G95" s="13" t="n"/>
      <c r="H95" s="13" t="n"/>
      <c r="I95" s="13" t="n"/>
      <c r="K95" s="6" t="n"/>
      <c r="L95" s="6" t="n"/>
    </row>
    <row r="96" ht="14.25" customHeight="1" s="24">
      <c r="A96" s="13">
        <f>IF(B96="","","DEF-"&amp;TEXT(ROW()-4,"0000"))</f>
        <v/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K96" s="6" t="n"/>
      <c r="L96" s="6" t="n"/>
    </row>
    <row r="97" ht="14.25" customHeight="1" s="24">
      <c r="A97" s="13">
        <f>IF(B97="","","DEF-"&amp;TEXT(ROW()-4,"0000"))</f>
        <v/>
      </c>
      <c r="B97" s="13" t="n"/>
      <c r="C97" s="13" t="n"/>
      <c r="D97" s="13" t="n"/>
      <c r="E97" s="13" t="n"/>
      <c r="F97" s="13" t="n"/>
      <c r="G97" s="13" t="n"/>
      <c r="H97" s="13" t="n"/>
      <c r="I97" s="13" t="n"/>
      <c r="K97" s="6" t="n"/>
      <c r="L97" s="6" t="n"/>
    </row>
    <row r="98" ht="14.25" customHeight="1" s="24">
      <c r="A98" s="13">
        <f>IF(B98="","","DEF-"&amp;TEXT(ROW()-4,"0000"))</f>
        <v/>
      </c>
      <c r="B98" s="13" t="n"/>
      <c r="C98" s="13" t="n"/>
      <c r="D98" s="13" t="n"/>
      <c r="E98" s="13" t="n"/>
      <c r="F98" s="13" t="n"/>
      <c r="G98" s="13" t="n"/>
      <c r="H98" s="13" t="n"/>
      <c r="I98" s="13" t="n"/>
      <c r="K98" s="6" t="n"/>
      <c r="L98" s="6" t="n"/>
    </row>
    <row r="99" ht="14.25" customHeight="1" s="24">
      <c r="A99" s="13">
        <f>IF(B99="","","DEF-"&amp;TEXT(ROW()-4,"0000"))</f>
        <v/>
      </c>
      <c r="B99" s="13" t="n"/>
      <c r="C99" s="13" t="n"/>
      <c r="D99" s="13" t="n"/>
      <c r="E99" s="13" t="n"/>
      <c r="F99" s="13" t="n"/>
      <c r="G99" s="13" t="n"/>
      <c r="H99" s="13" t="n"/>
      <c r="I99" s="13" t="n"/>
      <c r="K99" s="6" t="n"/>
      <c r="L99" s="6" t="n"/>
    </row>
    <row r="100" ht="14.25" customHeight="1" s="24">
      <c r="A100" s="13">
        <f>IF(B100="","","DEF-"&amp;TEXT(ROW()-4,"0000"))</f>
        <v/>
      </c>
      <c r="B100" s="13" t="n"/>
      <c r="C100" s="13" t="n"/>
      <c r="D100" s="13" t="n"/>
      <c r="E100" s="13" t="n"/>
      <c r="F100" s="13" t="n"/>
      <c r="G100" s="13" t="n"/>
      <c r="H100" s="13" t="n"/>
      <c r="I100" s="13" t="n"/>
      <c r="K100" s="6" t="n"/>
      <c r="L100" s="6" t="n"/>
    </row>
    <row r="101" ht="14.25" customHeight="1" s="24">
      <c r="A101" s="13">
        <f>IF(B101="","","DEF-"&amp;TEXT(ROW()-4,"0000"))</f>
        <v/>
      </c>
      <c r="B101" s="13" t="n"/>
      <c r="C101" s="13" t="n"/>
      <c r="D101" s="13" t="n"/>
      <c r="E101" s="13" t="n"/>
      <c r="F101" s="13" t="n"/>
      <c r="G101" s="13" t="n"/>
      <c r="H101" s="13" t="n"/>
      <c r="I101" s="13" t="n"/>
      <c r="K101" s="6" t="n"/>
      <c r="L101" s="6" t="n"/>
    </row>
    <row r="102" ht="14.25" customHeight="1" s="24">
      <c r="A102" s="13">
        <f>IF(B102="","","DEF-"&amp;TEXT(ROW()-4,"0000"))</f>
        <v/>
      </c>
      <c r="B102" s="13" t="n"/>
      <c r="C102" s="13" t="n"/>
      <c r="D102" s="13" t="n"/>
      <c r="E102" s="13" t="n"/>
      <c r="F102" s="13" t="n"/>
      <c r="G102" s="13" t="n"/>
      <c r="H102" s="13" t="n"/>
      <c r="I102" s="13" t="n"/>
      <c r="K102" s="6" t="n"/>
      <c r="L102" s="6" t="n"/>
    </row>
    <row r="103" ht="14.25" customHeight="1" s="24">
      <c r="A103" s="13">
        <f>IF(B103="","","DEF-"&amp;TEXT(ROW()-4,"0000"))</f>
        <v/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  <c r="K103" s="6" t="n"/>
      <c r="L103" s="6" t="n"/>
    </row>
    <row r="104" ht="14.25" customHeight="1" s="24">
      <c r="A104" s="13">
        <f>IF(B104="","","DEF-"&amp;TEXT(ROW()-4,"0000"))</f>
        <v/>
      </c>
      <c r="B104" s="13" t="n"/>
      <c r="C104" s="13" t="n"/>
      <c r="D104" s="13" t="n"/>
      <c r="E104" s="13" t="n"/>
      <c r="F104" s="13" t="n"/>
      <c r="G104" s="13" t="n"/>
      <c r="H104" s="13" t="n"/>
      <c r="I104" s="13" t="n"/>
      <c r="K104" s="6" t="n"/>
      <c r="L104" s="6" t="n"/>
    </row>
    <row r="105" ht="14.25" customHeight="1" s="24">
      <c r="A105" s="13">
        <f>IF(B105="","","DEF-"&amp;TEXT(ROW()-4,"0000"))</f>
        <v/>
      </c>
      <c r="B105" s="13" t="n"/>
      <c r="C105" s="13" t="n"/>
      <c r="D105" s="13" t="n"/>
      <c r="E105" s="13" t="n"/>
      <c r="F105" s="13" t="n"/>
      <c r="G105" s="13" t="n"/>
      <c r="H105" s="13" t="n"/>
      <c r="I105" s="13" t="n"/>
      <c r="K105" s="6" t="n"/>
      <c r="L105" s="6" t="n"/>
    </row>
    <row r="106" ht="14.25" customHeight="1" s="24">
      <c r="A106" s="13">
        <f>IF(B106="","","DEF-"&amp;TEXT(ROW()-4,"0000"))</f>
        <v/>
      </c>
      <c r="B106" s="13" t="n"/>
      <c r="C106" s="13" t="n"/>
      <c r="D106" s="13" t="n"/>
      <c r="E106" s="13" t="n"/>
      <c r="F106" s="13" t="n"/>
      <c r="G106" s="13" t="n"/>
      <c r="H106" s="13" t="n"/>
      <c r="I106" s="13" t="n"/>
      <c r="K106" s="6" t="n"/>
      <c r="L106" s="6" t="n"/>
    </row>
    <row r="107" ht="14.25" customHeight="1" s="24">
      <c r="A107" s="13">
        <f>IF(B107="","","DEF-"&amp;TEXT(ROW()-4,"0000"))</f>
        <v/>
      </c>
      <c r="B107" s="13" t="n"/>
      <c r="C107" s="13" t="n"/>
      <c r="D107" s="13" t="n"/>
      <c r="E107" s="13" t="n"/>
      <c r="F107" s="13" t="n"/>
      <c r="G107" s="13" t="n"/>
      <c r="H107" s="13" t="n"/>
      <c r="I107" s="13" t="n"/>
      <c r="K107" s="6" t="n"/>
      <c r="L107" s="6" t="n"/>
    </row>
    <row r="108" ht="14.25" customHeight="1" s="24">
      <c r="A108" s="13">
        <f>IF(B108="","","DEF-"&amp;TEXT(ROW()-4,"0000"))</f>
        <v/>
      </c>
      <c r="B108" s="13" t="n"/>
      <c r="C108" s="13" t="n"/>
      <c r="D108" s="13" t="n"/>
      <c r="E108" s="13" t="n"/>
      <c r="F108" s="13" t="n"/>
      <c r="G108" s="13" t="n"/>
      <c r="H108" s="13" t="n"/>
      <c r="I108" s="13" t="n"/>
      <c r="K108" s="6" t="n"/>
      <c r="L108" s="6" t="n"/>
    </row>
    <row r="109" ht="14.25" customHeight="1" s="24">
      <c r="A109" s="13">
        <f>IF(B109="","","DEF-"&amp;TEXT(ROW()-4,"0000"))</f>
        <v/>
      </c>
      <c r="B109" s="13" t="n"/>
      <c r="C109" s="13" t="n"/>
      <c r="D109" s="13" t="n"/>
      <c r="E109" s="13" t="n"/>
      <c r="F109" s="13" t="n"/>
      <c r="G109" s="13" t="n"/>
      <c r="H109" s="13" t="n"/>
      <c r="I109" s="13" t="n"/>
      <c r="K109" s="6" t="n"/>
      <c r="L109" s="6" t="n"/>
    </row>
    <row r="110" ht="14.25" customHeight="1" s="24">
      <c r="A110" s="13">
        <f>IF(B110="","","DEF-"&amp;TEXT(ROW()-4,"0000"))</f>
        <v/>
      </c>
      <c r="B110" s="13" t="n"/>
      <c r="C110" s="13" t="n"/>
      <c r="D110" s="13" t="n"/>
      <c r="E110" s="13" t="n"/>
      <c r="F110" s="13" t="n"/>
      <c r="G110" s="13" t="n"/>
      <c r="H110" s="13" t="n"/>
      <c r="I110" s="13" t="n"/>
      <c r="K110" s="6" t="n"/>
      <c r="L110" s="6" t="n"/>
    </row>
    <row r="111" ht="14.25" customHeight="1" s="24">
      <c r="A111" s="13">
        <f>IF(B111="","","DEF-"&amp;TEXT(ROW()-4,"0000"))</f>
        <v/>
      </c>
      <c r="B111" s="13" t="n"/>
      <c r="C111" s="13" t="n"/>
      <c r="D111" s="13" t="n"/>
      <c r="E111" s="13" t="n"/>
      <c r="F111" s="13" t="n"/>
      <c r="G111" s="13" t="n"/>
      <c r="H111" s="13" t="n"/>
      <c r="I111" s="13" t="n"/>
      <c r="K111" s="6" t="n"/>
      <c r="L111" s="6" t="n"/>
    </row>
    <row r="112" ht="14.25" customHeight="1" s="24">
      <c r="A112" s="13">
        <f>IF(B112="","","DEF-"&amp;TEXT(ROW()-4,"0000"))</f>
        <v/>
      </c>
      <c r="B112" s="13" t="n"/>
      <c r="C112" s="13" t="n"/>
      <c r="D112" s="13" t="n"/>
      <c r="E112" s="13" t="n"/>
      <c r="F112" s="13" t="n"/>
      <c r="G112" s="13" t="n"/>
      <c r="H112" s="13" t="n"/>
      <c r="I112" s="13" t="n"/>
      <c r="K112" s="6" t="n"/>
      <c r="L112" s="6" t="n"/>
    </row>
    <row r="113" ht="14.25" customHeight="1" s="24">
      <c r="A113" s="13">
        <f>IF(B113="","","DEF-"&amp;TEXT(ROW()-4,"0000"))</f>
        <v/>
      </c>
      <c r="B113" s="13" t="n"/>
      <c r="C113" s="13" t="n"/>
      <c r="D113" s="13" t="n"/>
      <c r="E113" s="13" t="n"/>
      <c r="F113" s="13" t="n"/>
      <c r="G113" s="13" t="n"/>
      <c r="H113" s="13" t="n"/>
      <c r="I113" s="13" t="n"/>
      <c r="K113" s="6" t="n"/>
      <c r="L113" s="6" t="n"/>
    </row>
    <row r="114" ht="14.25" customHeight="1" s="24">
      <c r="A114" s="13">
        <f>IF(B114="","","DEF-"&amp;TEXT(ROW()-4,"0000"))</f>
        <v/>
      </c>
      <c r="B114" s="13" t="n"/>
      <c r="C114" s="13" t="n"/>
      <c r="D114" s="13" t="n"/>
      <c r="E114" s="13" t="n"/>
      <c r="F114" s="13" t="n"/>
      <c r="G114" s="13" t="n"/>
      <c r="H114" s="13" t="n"/>
      <c r="I114" s="13" t="n"/>
      <c r="K114" s="6" t="n"/>
      <c r="L114" s="6" t="n"/>
    </row>
    <row r="115" ht="14.25" customHeight="1" s="24">
      <c r="A115" s="13">
        <f>IF(B115="","","DEF-"&amp;TEXT(ROW()-4,"0000"))</f>
        <v/>
      </c>
      <c r="B115" s="13" t="n"/>
      <c r="C115" s="13" t="n"/>
      <c r="D115" s="13" t="n"/>
      <c r="E115" s="13" t="n"/>
      <c r="F115" s="13" t="n"/>
      <c r="G115" s="13" t="n"/>
      <c r="H115" s="13" t="n"/>
      <c r="I115" s="13" t="n"/>
      <c r="K115" s="6" t="n"/>
      <c r="L115" s="6" t="n"/>
    </row>
    <row r="116" ht="14.25" customHeight="1" s="24">
      <c r="A116" s="13">
        <f>IF(B116="","","DEF-"&amp;TEXT(ROW()-4,"0000"))</f>
        <v/>
      </c>
      <c r="B116" s="13" t="n"/>
      <c r="C116" s="13" t="n"/>
      <c r="D116" s="13" t="n"/>
      <c r="E116" s="13" t="n"/>
      <c r="F116" s="13" t="n"/>
      <c r="G116" s="13" t="n"/>
      <c r="H116" s="13" t="n"/>
      <c r="I116" s="13" t="n"/>
      <c r="K116" s="6" t="n"/>
      <c r="L116" s="6" t="n"/>
    </row>
    <row r="117" ht="14.25" customHeight="1" s="24">
      <c r="A117" s="13">
        <f>IF(B117="","","DEF-"&amp;TEXT(ROW()-4,"0000"))</f>
        <v/>
      </c>
      <c r="B117" s="13" t="n"/>
      <c r="C117" s="13" t="n"/>
      <c r="D117" s="13" t="n"/>
      <c r="E117" s="13" t="n"/>
      <c r="F117" s="13" t="n"/>
      <c r="G117" s="13" t="n"/>
      <c r="H117" s="13" t="n"/>
      <c r="I117" s="13" t="n"/>
      <c r="K117" s="6" t="n"/>
      <c r="L117" s="6" t="n"/>
    </row>
    <row r="118" ht="14.25" customHeight="1" s="24">
      <c r="A118" s="13">
        <f>IF(B118="","","DEF-"&amp;TEXT(ROW()-4,"0000"))</f>
        <v/>
      </c>
      <c r="B118" s="13" t="n"/>
      <c r="C118" s="13" t="n"/>
      <c r="D118" s="13" t="n"/>
      <c r="E118" s="13" t="n"/>
      <c r="F118" s="13" t="n"/>
      <c r="G118" s="13" t="n"/>
      <c r="H118" s="13" t="n"/>
      <c r="I118" s="13" t="n"/>
      <c r="K118" s="6" t="n"/>
      <c r="L118" s="6" t="n"/>
    </row>
    <row r="119" ht="14.25" customHeight="1" s="24">
      <c r="A119" s="13">
        <f>IF(B119="","","DEF-"&amp;TEXT(ROW()-4,"0000"))</f>
        <v/>
      </c>
      <c r="B119" s="13" t="n"/>
      <c r="C119" s="13" t="n"/>
      <c r="D119" s="13" t="n"/>
      <c r="E119" s="13" t="n"/>
      <c r="F119" s="13" t="n"/>
      <c r="G119" s="13" t="n"/>
      <c r="H119" s="13" t="n"/>
      <c r="I119" s="13" t="n"/>
      <c r="K119" s="6" t="n"/>
      <c r="L119" s="6" t="n"/>
    </row>
    <row r="120" ht="14.25" customHeight="1" s="24">
      <c r="A120" s="13">
        <f>IF(B120="","","DEF-"&amp;TEXT(ROW()-4,"0000"))</f>
        <v/>
      </c>
      <c r="B120" s="13" t="n"/>
      <c r="C120" s="13" t="n"/>
      <c r="D120" s="13" t="n"/>
      <c r="E120" s="13" t="n"/>
      <c r="F120" s="13" t="n"/>
      <c r="G120" s="13" t="n"/>
      <c r="H120" s="13" t="n"/>
      <c r="I120" s="13" t="n"/>
      <c r="K120" s="6" t="n"/>
      <c r="L120" s="6" t="n"/>
    </row>
    <row r="121" ht="14.25" customHeight="1" s="24">
      <c r="A121" s="13">
        <f>IF(B121="","","DEF-"&amp;TEXT(ROW()-4,"0000"))</f>
        <v/>
      </c>
      <c r="B121" s="13" t="n"/>
      <c r="C121" s="13" t="n"/>
      <c r="D121" s="13" t="n"/>
      <c r="E121" s="13" t="n"/>
      <c r="F121" s="13" t="n"/>
      <c r="G121" s="13" t="n"/>
      <c r="H121" s="13" t="n"/>
      <c r="I121" s="13" t="n"/>
      <c r="K121" s="6" t="n"/>
      <c r="L121" s="6" t="n"/>
    </row>
    <row r="122" ht="14.25" customHeight="1" s="24">
      <c r="A122" s="13">
        <f>IF(B122="","","DEF-"&amp;TEXT(ROW()-4,"0000"))</f>
        <v/>
      </c>
      <c r="B122" s="13" t="n"/>
      <c r="C122" s="13" t="n"/>
      <c r="D122" s="13" t="n"/>
      <c r="E122" s="13" t="n"/>
      <c r="F122" s="13" t="n"/>
      <c r="G122" s="13" t="n"/>
      <c r="H122" s="13" t="n"/>
      <c r="I122" s="13" t="n"/>
      <c r="K122" s="6" t="n"/>
      <c r="L122" s="6" t="n"/>
    </row>
    <row r="123" ht="14.25" customHeight="1" s="24">
      <c r="A123" s="13">
        <f>IF(B123="","","DEF-"&amp;TEXT(ROW()-4,"0000"))</f>
        <v/>
      </c>
      <c r="B123" s="13" t="n"/>
      <c r="C123" s="13" t="n"/>
      <c r="D123" s="13" t="n"/>
      <c r="E123" s="13" t="n"/>
      <c r="F123" s="13" t="n"/>
      <c r="G123" s="13" t="n"/>
      <c r="H123" s="13" t="n"/>
      <c r="I123" s="13" t="n"/>
      <c r="K123" s="6" t="n"/>
      <c r="L123" s="6" t="n"/>
    </row>
    <row r="124" ht="14.25" customHeight="1" s="24">
      <c r="A124" s="13">
        <f>IF(B124="","","DEF-"&amp;TEXT(ROW()-4,"0000"))</f>
        <v/>
      </c>
      <c r="B124" s="13" t="n"/>
      <c r="C124" s="13" t="n"/>
      <c r="D124" s="13" t="n"/>
      <c r="E124" s="13" t="n"/>
      <c r="F124" s="13" t="n"/>
      <c r="G124" s="13" t="n"/>
      <c r="H124" s="13" t="n"/>
      <c r="I124" s="13" t="n"/>
      <c r="K124" s="6" t="n"/>
      <c r="L124" s="6" t="n"/>
    </row>
    <row r="125" ht="14.25" customHeight="1" s="24">
      <c r="A125" s="13">
        <f>IF(B125="","","DEF-"&amp;TEXT(ROW()-4,"0000"))</f>
        <v/>
      </c>
      <c r="B125" s="13" t="n"/>
      <c r="C125" s="13" t="n"/>
      <c r="D125" s="13" t="n"/>
      <c r="E125" s="13" t="n"/>
      <c r="F125" s="13" t="n"/>
      <c r="G125" s="13" t="n"/>
      <c r="H125" s="13" t="n"/>
      <c r="I125" s="13" t="n"/>
      <c r="K125" s="6" t="n"/>
      <c r="L125" s="6" t="n"/>
    </row>
    <row r="126" ht="14.25" customHeight="1" s="24">
      <c r="A126" s="13">
        <f>IF(B126="","","DEF-"&amp;TEXT(ROW()-4,"0000"))</f>
        <v/>
      </c>
      <c r="B126" s="13" t="n"/>
      <c r="C126" s="13" t="n"/>
      <c r="D126" s="13" t="n"/>
      <c r="E126" s="13" t="n"/>
      <c r="F126" s="13" t="n"/>
      <c r="G126" s="13" t="n"/>
      <c r="H126" s="13" t="n"/>
      <c r="I126" s="13" t="n"/>
      <c r="K126" s="6" t="n"/>
      <c r="L126" s="6" t="n"/>
    </row>
    <row r="127" ht="14.25" customHeight="1" s="24">
      <c r="A127" s="13">
        <f>IF(B127="","","DEF-"&amp;TEXT(ROW()-4,"0000"))</f>
        <v/>
      </c>
      <c r="B127" s="13" t="n"/>
      <c r="C127" s="13" t="n"/>
      <c r="D127" s="13" t="n"/>
      <c r="E127" s="13" t="n"/>
      <c r="F127" s="13" t="n"/>
      <c r="G127" s="13" t="n"/>
      <c r="H127" s="13" t="n"/>
      <c r="I127" s="13" t="n"/>
      <c r="K127" s="6" t="n"/>
      <c r="L127" s="6" t="n"/>
    </row>
    <row r="128" ht="14.25" customHeight="1" s="24">
      <c r="A128" s="13">
        <f>IF(B128="","","DEF-"&amp;TEXT(ROW()-4,"0000"))</f>
        <v/>
      </c>
      <c r="B128" s="13" t="n"/>
      <c r="C128" s="13" t="n"/>
      <c r="D128" s="13" t="n"/>
      <c r="E128" s="13" t="n"/>
      <c r="F128" s="13" t="n"/>
      <c r="G128" s="13" t="n"/>
      <c r="H128" s="13" t="n"/>
      <c r="I128" s="13" t="n"/>
      <c r="K128" s="6" t="n"/>
      <c r="L128" s="6" t="n"/>
    </row>
    <row r="129" ht="14.25" customHeight="1" s="24">
      <c r="A129" s="13">
        <f>IF(B129="","","DEF-"&amp;TEXT(ROW()-4,"0000"))</f>
        <v/>
      </c>
      <c r="B129" s="13" t="n"/>
      <c r="C129" s="13" t="n"/>
      <c r="D129" s="13" t="n"/>
      <c r="E129" s="13" t="n"/>
      <c r="F129" s="13" t="n"/>
      <c r="G129" s="13" t="n"/>
      <c r="H129" s="13" t="n"/>
      <c r="I129" s="13" t="n"/>
      <c r="K129" s="6" t="n"/>
      <c r="L129" s="6" t="n"/>
    </row>
    <row r="130" ht="14.25" customHeight="1" s="24">
      <c r="A130" s="13">
        <f>IF(B130="","","DEF-"&amp;TEXT(ROW()-4,"0000"))</f>
        <v/>
      </c>
      <c r="B130" s="13" t="n"/>
      <c r="C130" s="13" t="n"/>
      <c r="D130" s="13" t="n"/>
      <c r="E130" s="13" t="n"/>
      <c r="F130" s="13" t="n"/>
      <c r="G130" s="13" t="n"/>
      <c r="H130" s="13" t="n"/>
      <c r="I130" s="13" t="n"/>
      <c r="K130" s="6" t="n"/>
      <c r="L130" s="6" t="n"/>
    </row>
    <row r="131" ht="14.25" customHeight="1" s="24">
      <c r="A131" s="13">
        <f>IF(B131="","","DEF-"&amp;TEXT(ROW()-4,"0000"))</f>
        <v/>
      </c>
      <c r="B131" s="13" t="n"/>
      <c r="C131" s="13" t="n"/>
      <c r="D131" s="13" t="n"/>
      <c r="E131" s="13" t="n"/>
      <c r="F131" s="13" t="n"/>
      <c r="G131" s="13" t="n"/>
      <c r="H131" s="13" t="n"/>
      <c r="I131" s="13" t="n"/>
      <c r="K131" s="6" t="n"/>
      <c r="L131" s="6" t="n"/>
    </row>
    <row r="132" ht="14.25" customHeight="1" s="24">
      <c r="A132" s="13">
        <f>IF(B132="","","DEF-"&amp;TEXT(ROW()-4,"0000"))</f>
        <v/>
      </c>
      <c r="B132" s="13" t="n"/>
      <c r="C132" s="13" t="n"/>
      <c r="D132" s="13" t="n"/>
      <c r="E132" s="13" t="n"/>
      <c r="F132" s="13" t="n"/>
      <c r="G132" s="13" t="n"/>
      <c r="H132" s="13" t="n"/>
      <c r="I132" s="13" t="n"/>
      <c r="K132" s="6" t="n"/>
      <c r="L132" s="6" t="n"/>
    </row>
    <row r="133" ht="14.25" customHeight="1" s="24">
      <c r="A133" s="13">
        <f>IF(B133="","","DEF-"&amp;TEXT(ROW()-4,"0000"))</f>
        <v/>
      </c>
      <c r="B133" s="13" t="n"/>
      <c r="C133" s="13" t="n"/>
      <c r="D133" s="13" t="n"/>
      <c r="E133" s="13" t="n"/>
      <c r="F133" s="13" t="n"/>
      <c r="G133" s="13" t="n"/>
      <c r="H133" s="13" t="n"/>
      <c r="I133" s="13" t="n"/>
      <c r="K133" s="6" t="n"/>
      <c r="L133" s="6" t="n"/>
    </row>
    <row r="134" ht="14.25" customHeight="1" s="24">
      <c r="A134" s="13">
        <f>IF(B134="","","DEF-"&amp;TEXT(ROW()-4,"0000"))</f>
        <v/>
      </c>
      <c r="B134" s="13" t="n"/>
      <c r="C134" s="13" t="n"/>
      <c r="D134" s="13" t="n"/>
      <c r="E134" s="13" t="n"/>
      <c r="F134" s="13" t="n"/>
      <c r="G134" s="13" t="n"/>
      <c r="H134" s="13" t="n"/>
      <c r="I134" s="13" t="n"/>
      <c r="K134" s="6" t="n"/>
      <c r="L134" s="6" t="n"/>
    </row>
    <row r="135" ht="14.25" customHeight="1" s="24">
      <c r="A135" s="13">
        <f>IF(B135="","","DEF-"&amp;TEXT(ROW()-4,"0000"))</f>
        <v/>
      </c>
      <c r="B135" s="13" t="n"/>
      <c r="C135" s="13" t="n"/>
      <c r="D135" s="13" t="n"/>
      <c r="E135" s="13" t="n"/>
      <c r="F135" s="13" t="n"/>
      <c r="G135" s="13" t="n"/>
      <c r="H135" s="13" t="n"/>
      <c r="I135" s="13" t="n"/>
      <c r="K135" s="6" t="n"/>
      <c r="L135" s="6" t="n"/>
    </row>
    <row r="136" ht="14.25" customHeight="1" s="24">
      <c r="A136" s="13">
        <f>IF(B136="","","DEF-"&amp;TEXT(ROW()-4,"0000"))</f>
        <v/>
      </c>
      <c r="B136" s="13" t="n"/>
      <c r="C136" s="13" t="n"/>
      <c r="D136" s="13" t="n"/>
      <c r="E136" s="13" t="n"/>
      <c r="F136" s="13" t="n"/>
      <c r="G136" s="13" t="n"/>
      <c r="H136" s="13" t="n"/>
      <c r="I136" s="13" t="n"/>
      <c r="K136" s="6" t="n"/>
      <c r="L136" s="6" t="n"/>
    </row>
    <row r="137" ht="14.25" customHeight="1" s="24">
      <c r="A137" s="13">
        <f>IF(B137="","","DEF-"&amp;TEXT(ROW()-4,"0000"))</f>
        <v/>
      </c>
      <c r="B137" s="13" t="n"/>
      <c r="C137" s="13" t="n"/>
      <c r="D137" s="13" t="n"/>
      <c r="E137" s="13" t="n"/>
      <c r="F137" s="13" t="n"/>
      <c r="G137" s="13" t="n"/>
      <c r="H137" s="13" t="n"/>
      <c r="I137" s="13" t="n"/>
      <c r="K137" s="6" t="n"/>
      <c r="L137" s="6" t="n"/>
    </row>
    <row r="138" ht="14.25" customHeight="1" s="24">
      <c r="A138" s="13">
        <f>IF(B138="","","DEF-"&amp;TEXT(ROW()-4,"0000"))</f>
        <v/>
      </c>
      <c r="B138" s="13" t="n"/>
      <c r="C138" s="13" t="n"/>
      <c r="D138" s="13" t="n"/>
      <c r="E138" s="13" t="n"/>
      <c r="F138" s="13" t="n"/>
      <c r="G138" s="13" t="n"/>
      <c r="H138" s="13" t="n"/>
      <c r="I138" s="13" t="n"/>
      <c r="K138" s="6" t="n"/>
      <c r="L138" s="6" t="n"/>
    </row>
    <row r="139" ht="14.25" customHeight="1" s="24">
      <c r="A139" s="13">
        <f>IF(B139="","","DEF-"&amp;TEXT(ROW()-4,"0000"))</f>
        <v/>
      </c>
      <c r="B139" s="13" t="n"/>
      <c r="C139" s="13" t="n"/>
      <c r="D139" s="13" t="n"/>
      <c r="E139" s="13" t="n"/>
      <c r="F139" s="13" t="n"/>
      <c r="G139" s="13" t="n"/>
      <c r="H139" s="13" t="n"/>
      <c r="I139" s="13" t="n"/>
      <c r="K139" s="6" t="n"/>
      <c r="L139" s="6" t="n"/>
    </row>
    <row r="140" ht="14.25" customHeight="1" s="24">
      <c r="A140" s="13">
        <f>IF(B140="","","DEF-"&amp;TEXT(ROW()-4,"0000"))</f>
        <v/>
      </c>
      <c r="B140" s="13" t="n"/>
      <c r="C140" s="13" t="n"/>
      <c r="D140" s="13" t="n"/>
      <c r="E140" s="13" t="n"/>
      <c r="F140" s="13" t="n"/>
      <c r="G140" s="13" t="n"/>
      <c r="H140" s="13" t="n"/>
      <c r="I140" s="13" t="n"/>
      <c r="K140" s="6" t="n"/>
      <c r="L140" s="6" t="n"/>
    </row>
    <row r="141" ht="14.25" customHeight="1" s="24">
      <c r="A141" s="13">
        <f>IF(B141="","","DEF-"&amp;TEXT(ROW()-4,"0000"))</f>
        <v/>
      </c>
      <c r="B141" s="13" t="n"/>
      <c r="C141" s="13" t="n"/>
      <c r="D141" s="13" t="n"/>
      <c r="E141" s="13" t="n"/>
      <c r="F141" s="13" t="n"/>
      <c r="G141" s="13" t="n"/>
      <c r="H141" s="13" t="n"/>
      <c r="I141" s="13" t="n"/>
      <c r="K141" s="6" t="n"/>
      <c r="L141" s="6" t="n"/>
    </row>
    <row r="142" ht="14.25" customHeight="1" s="24">
      <c r="A142" s="13">
        <f>IF(B142="","","DEF-"&amp;TEXT(ROW()-4,"0000"))</f>
        <v/>
      </c>
      <c r="B142" s="13" t="n"/>
      <c r="C142" s="13" t="n"/>
      <c r="D142" s="13" t="n"/>
      <c r="E142" s="13" t="n"/>
      <c r="F142" s="13" t="n"/>
      <c r="G142" s="13" t="n"/>
      <c r="H142" s="13" t="n"/>
      <c r="I142" s="13" t="n"/>
      <c r="K142" s="6" t="n"/>
      <c r="L142" s="6" t="n"/>
    </row>
    <row r="143" ht="14.25" customHeight="1" s="24">
      <c r="A143" s="13">
        <f>IF(B143="","","DEF-"&amp;TEXT(ROW()-4,"0000"))</f>
        <v/>
      </c>
      <c r="B143" s="13" t="n"/>
      <c r="C143" s="13" t="n"/>
      <c r="D143" s="13" t="n"/>
      <c r="E143" s="13" t="n"/>
      <c r="F143" s="13" t="n"/>
      <c r="G143" s="13" t="n"/>
      <c r="H143" s="13" t="n"/>
      <c r="I143" s="13" t="n"/>
      <c r="K143" s="6" t="n"/>
      <c r="L143" s="6" t="n"/>
    </row>
    <row r="144" ht="14.25" customHeight="1" s="24">
      <c r="A144" s="13">
        <f>IF(B144="","","DEF-"&amp;TEXT(ROW()-4,"0000"))</f>
        <v/>
      </c>
      <c r="B144" s="13" t="n"/>
      <c r="C144" s="13" t="n"/>
      <c r="D144" s="13" t="n"/>
      <c r="E144" s="13" t="n"/>
      <c r="F144" s="13" t="n"/>
      <c r="G144" s="13" t="n"/>
      <c r="H144" s="13" t="n"/>
      <c r="I144" s="13" t="n"/>
      <c r="K144" s="6" t="n"/>
      <c r="L144" s="6" t="n"/>
    </row>
    <row r="145" ht="14.25" customHeight="1" s="24">
      <c r="A145" s="13">
        <f>IF(B145="","","DEF-"&amp;TEXT(ROW()-4,"0000"))</f>
        <v/>
      </c>
      <c r="B145" s="13" t="n"/>
      <c r="C145" s="13" t="n"/>
      <c r="D145" s="13" t="n"/>
      <c r="E145" s="13" t="n"/>
      <c r="F145" s="13" t="n"/>
      <c r="G145" s="13" t="n"/>
      <c r="H145" s="13" t="n"/>
      <c r="I145" s="13" t="n"/>
      <c r="K145" s="6" t="n"/>
      <c r="L145" s="6" t="n"/>
    </row>
    <row r="146" ht="14.25" customHeight="1" s="24">
      <c r="A146" s="13">
        <f>IF(B146="","","DEF-"&amp;TEXT(ROW()-4,"0000"))</f>
        <v/>
      </c>
      <c r="B146" s="13" t="n"/>
      <c r="C146" s="13" t="n"/>
      <c r="D146" s="13" t="n"/>
      <c r="E146" s="13" t="n"/>
      <c r="F146" s="13" t="n"/>
      <c r="G146" s="13" t="n"/>
      <c r="H146" s="13" t="n"/>
      <c r="I146" s="13" t="n"/>
      <c r="K146" s="6" t="n"/>
      <c r="L146" s="6" t="n"/>
    </row>
    <row r="147" ht="14.25" customHeight="1" s="24">
      <c r="A147" s="13">
        <f>IF(B147="","","DEF-"&amp;TEXT(ROW()-4,"0000"))</f>
        <v/>
      </c>
      <c r="B147" s="13" t="n"/>
      <c r="C147" s="13" t="n"/>
      <c r="D147" s="13" t="n"/>
      <c r="E147" s="13" t="n"/>
      <c r="F147" s="13" t="n"/>
      <c r="G147" s="13" t="n"/>
      <c r="H147" s="13" t="n"/>
      <c r="I147" s="13" t="n"/>
      <c r="K147" s="6" t="n"/>
      <c r="L147" s="6" t="n"/>
    </row>
    <row r="148" ht="14.25" customHeight="1" s="24">
      <c r="A148" s="13">
        <f>IF(B148="","","DEF-"&amp;TEXT(ROW()-4,"0000"))</f>
        <v/>
      </c>
      <c r="B148" s="13" t="n"/>
      <c r="C148" s="13" t="n"/>
      <c r="D148" s="13" t="n"/>
      <c r="E148" s="13" t="n"/>
      <c r="F148" s="13" t="n"/>
      <c r="G148" s="13" t="n"/>
      <c r="H148" s="13" t="n"/>
      <c r="I148" s="13" t="n"/>
      <c r="K148" s="6" t="n"/>
      <c r="L148" s="6" t="n"/>
    </row>
    <row r="149" ht="14.25" customHeight="1" s="24">
      <c r="A149" s="13">
        <f>IF(B149="","","DEF-"&amp;TEXT(ROW()-4,"0000"))</f>
        <v/>
      </c>
      <c r="B149" s="13" t="n"/>
      <c r="C149" s="13" t="n"/>
      <c r="D149" s="13" t="n"/>
      <c r="E149" s="13" t="n"/>
      <c r="F149" s="13" t="n"/>
      <c r="G149" s="13" t="n"/>
      <c r="H149" s="13" t="n"/>
      <c r="I149" s="13" t="n"/>
      <c r="K149" s="6" t="n"/>
      <c r="L149" s="6" t="n"/>
    </row>
    <row r="150" ht="14.25" customHeight="1" s="24">
      <c r="A150" s="13">
        <f>IF(B150="","","DEF-"&amp;TEXT(ROW()-4,"0000"))</f>
        <v/>
      </c>
      <c r="B150" s="13" t="n"/>
      <c r="C150" s="13" t="n"/>
      <c r="D150" s="13" t="n"/>
      <c r="E150" s="13" t="n"/>
      <c r="F150" s="13" t="n"/>
      <c r="G150" s="13" t="n"/>
      <c r="H150" s="13" t="n"/>
      <c r="I150" s="13" t="n"/>
      <c r="K150" s="6" t="n"/>
      <c r="L150" s="6" t="n"/>
    </row>
    <row r="151" ht="14.25" customHeight="1" s="24">
      <c r="A151" s="13">
        <f>IF(B151="","","DEF-"&amp;TEXT(ROW()-4,"0000"))</f>
        <v/>
      </c>
      <c r="B151" s="13" t="n"/>
      <c r="C151" s="13" t="n"/>
      <c r="D151" s="13" t="n"/>
      <c r="E151" s="13" t="n"/>
      <c r="F151" s="13" t="n"/>
      <c r="G151" s="13" t="n"/>
      <c r="H151" s="13" t="n"/>
      <c r="I151" s="13" t="n"/>
      <c r="K151" s="6" t="n"/>
      <c r="L151" s="6" t="n"/>
    </row>
    <row r="152" ht="14.25" customHeight="1" s="24">
      <c r="A152" s="13">
        <f>IF(B152="","","DEF-"&amp;TEXT(ROW()-4,"0000"))</f>
        <v/>
      </c>
      <c r="B152" s="13" t="n"/>
      <c r="C152" s="13" t="n"/>
      <c r="D152" s="13" t="n"/>
      <c r="E152" s="13" t="n"/>
      <c r="F152" s="13" t="n"/>
      <c r="G152" s="13" t="n"/>
      <c r="H152" s="13" t="n"/>
      <c r="I152" s="13" t="n"/>
      <c r="K152" s="6" t="n"/>
      <c r="L152" s="6" t="n"/>
    </row>
    <row r="153" ht="14.25" customHeight="1" s="24">
      <c r="A153" s="13">
        <f>IF(B153="","","DEF-"&amp;TEXT(ROW()-4,"0000"))</f>
        <v/>
      </c>
      <c r="B153" s="13" t="n"/>
      <c r="C153" s="13" t="n"/>
      <c r="D153" s="13" t="n"/>
      <c r="E153" s="13" t="n"/>
      <c r="F153" s="13" t="n"/>
      <c r="G153" s="13" t="n"/>
      <c r="H153" s="13" t="n"/>
      <c r="I153" s="13" t="n"/>
      <c r="K153" s="6" t="n"/>
      <c r="L153" s="6" t="n"/>
    </row>
    <row r="154" ht="14.25" customHeight="1" s="24">
      <c r="A154" s="13">
        <f>IF(B154="","","DEF-"&amp;TEXT(ROW()-4,"0000"))</f>
        <v/>
      </c>
      <c r="B154" s="13" t="n"/>
      <c r="C154" s="13" t="n"/>
      <c r="D154" s="13" t="n"/>
      <c r="E154" s="13" t="n"/>
      <c r="F154" s="13" t="n"/>
      <c r="G154" s="13" t="n"/>
      <c r="H154" s="13" t="n"/>
      <c r="I154" s="13" t="n"/>
      <c r="K154" s="6" t="n"/>
      <c r="L154" s="6" t="n"/>
    </row>
    <row r="155" ht="14.25" customHeight="1" s="24">
      <c r="A155" s="13">
        <f>IF(B155="","","DEF-"&amp;TEXT(ROW()-4,"0000"))</f>
        <v/>
      </c>
      <c r="B155" s="13" t="n"/>
      <c r="C155" s="13" t="n"/>
      <c r="D155" s="13" t="n"/>
      <c r="E155" s="13" t="n"/>
      <c r="F155" s="13" t="n"/>
      <c r="G155" s="13" t="n"/>
      <c r="H155" s="13" t="n"/>
      <c r="I155" s="13" t="n"/>
      <c r="K155" s="6" t="n"/>
      <c r="L155" s="6" t="n"/>
    </row>
    <row r="156" ht="14.25" customHeight="1" s="24">
      <c r="A156" s="13">
        <f>IF(B156="","","DEF-"&amp;TEXT(ROW()-4,"0000"))</f>
        <v/>
      </c>
      <c r="B156" s="13" t="n"/>
      <c r="C156" s="13" t="n"/>
      <c r="D156" s="13" t="n"/>
      <c r="E156" s="13" t="n"/>
      <c r="F156" s="13" t="n"/>
      <c r="G156" s="13" t="n"/>
      <c r="H156" s="13" t="n"/>
      <c r="I156" s="13" t="n"/>
      <c r="K156" s="6" t="n"/>
      <c r="L156" s="6" t="n"/>
    </row>
    <row r="157" ht="14.25" customHeight="1" s="24">
      <c r="A157" s="13">
        <f>IF(B157="","","DEF-"&amp;TEXT(ROW()-4,"0000"))</f>
        <v/>
      </c>
      <c r="B157" s="13" t="n"/>
      <c r="C157" s="13" t="n"/>
      <c r="D157" s="13" t="n"/>
      <c r="E157" s="13" t="n"/>
      <c r="F157" s="13" t="n"/>
      <c r="G157" s="13" t="n"/>
      <c r="H157" s="13" t="n"/>
      <c r="I157" s="13" t="n"/>
      <c r="K157" s="6" t="n"/>
      <c r="L157" s="6" t="n"/>
    </row>
    <row r="158" ht="14.25" customHeight="1" s="24">
      <c r="A158" s="13">
        <f>IF(B158="","","DEF-"&amp;TEXT(ROW()-4,"0000"))</f>
        <v/>
      </c>
      <c r="B158" s="13" t="n"/>
      <c r="C158" s="13" t="n"/>
      <c r="D158" s="13" t="n"/>
      <c r="E158" s="13" t="n"/>
      <c r="F158" s="13" t="n"/>
      <c r="G158" s="13" t="n"/>
      <c r="H158" s="13" t="n"/>
      <c r="I158" s="13" t="n"/>
      <c r="K158" s="6" t="n"/>
      <c r="L158" s="6" t="n"/>
    </row>
    <row r="159" ht="14.25" customHeight="1" s="24">
      <c r="A159" s="13">
        <f>IF(B159="","","DEF-"&amp;TEXT(ROW()-4,"0000"))</f>
        <v/>
      </c>
      <c r="B159" s="13" t="n"/>
      <c r="C159" s="13" t="n"/>
      <c r="D159" s="13" t="n"/>
      <c r="E159" s="13" t="n"/>
      <c r="F159" s="13" t="n"/>
      <c r="G159" s="13" t="n"/>
      <c r="H159" s="13" t="n"/>
      <c r="I159" s="13" t="n"/>
      <c r="K159" s="6" t="n"/>
      <c r="L159" s="6" t="n"/>
    </row>
    <row r="160" ht="14.25" customHeight="1" s="24">
      <c r="A160" s="13">
        <f>IF(B160="","","DEF-"&amp;TEXT(ROW()-4,"0000"))</f>
        <v/>
      </c>
      <c r="B160" s="13" t="n"/>
      <c r="C160" s="13" t="n"/>
      <c r="D160" s="13" t="n"/>
      <c r="E160" s="13" t="n"/>
      <c r="F160" s="13" t="n"/>
      <c r="G160" s="13" t="n"/>
      <c r="H160" s="13" t="n"/>
      <c r="I160" s="13" t="n"/>
      <c r="K160" s="6" t="n"/>
      <c r="L160" s="6" t="n"/>
    </row>
    <row r="161" ht="14.25" customHeight="1" s="24">
      <c r="A161" s="13">
        <f>IF(B161="","","DEF-"&amp;TEXT(ROW()-4,"0000"))</f>
        <v/>
      </c>
      <c r="B161" s="13" t="n"/>
      <c r="C161" s="13" t="n"/>
      <c r="D161" s="13" t="n"/>
      <c r="E161" s="13" t="n"/>
      <c r="F161" s="13" t="n"/>
      <c r="G161" s="13" t="n"/>
      <c r="H161" s="13" t="n"/>
      <c r="I161" s="13" t="n"/>
      <c r="K161" s="6" t="n"/>
      <c r="L161" s="6" t="n"/>
    </row>
    <row r="162" ht="14.25" customHeight="1" s="24">
      <c r="A162" s="13">
        <f>IF(B162="","","DEF-"&amp;TEXT(ROW()-4,"0000"))</f>
        <v/>
      </c>
      <c r="B162" s="13" t="n"/>
      <c r="C162" s="13" t="n"/>
      <c r="D162" s="13" t="n"/>
      <c r="E162" s="13" t="n"/>
      <c r="F162" s="13" t="n"/>
      <c r="G162" s="13" t="n"/>
      <c r="H162" s="13" t="n"/>
      <c r="I162" s="13" t="n"/>
      <c r="K162" s="6" t="n"/>
      <c r="L162" s="6" t="n"/>
    </row>
    <row r="163" ht="14.25" customHeight="1" s="24">
      <c r="A163" s="13">
        <f>IF(B163="","","DEF-"&amp;TEXT(ROW()-4,"0000"))</f>
        <v/>
      </c>
      <c r="B163" s="13" t="n"/>
      <c r="C163" s="13" t="n"/>
      <c r="D163" s="13" t="n"/>
      <c r="E163" s="13" t="n"/>
      <c r="F163" s="13" t="n"/>
      <c r="G163" s="13" t="n"/>
      <c r="H163" s="13" t="n"/>
      <c r="I163" s="13" t="n"/>
      <c r="K163" s="6" t="n"/>
      <c r="L163" s="6" t="n"/>
    </row>
    <row r="164" ht="14.25" customHeight="1" s="24">
      <c r="A164" s="13">
        <f>IF(B164="","","DEF-"&amp;TEXT(ROW()-4,"0000"))</f>
        <v/>
      </c>
      <c r="B164" s="13" t="n"/>
      <c r="C164" s="13" t="n"/>
      <c r="D164" s="13" t="n"/>
      <c r="E164" s="13" t="n"/>
      <c r="F164" s="13" t="n"/>
      <c r="G164" s="13" t="n"/>
      <c r="H164" s="13" t="n"/>
      <c r="I164" s="13" t="n"/>
      <c r="K164" s="6" t="n"/>
      <c r="L164" s="6" t="n"/>
    </row>
    <row r="165" ht="14.25" customHeight="1" s="24">
      <c r="A165" s="13">
        <f>IF(B165="","","DEF-"&amp;TEXT(ROW()-4,"0000"))</f>
        <v/>
      </c>
      <c r="B165" s="13" t="n"/>
      <c r="C165" s="13" t="n"/>
      <c r="D165" s="13" t="n"/>
      <c r="E165" s="13" t="n"/>
      <c r="F165" s="13" t="n"/>
      <c r="G165" s="13" t="n"/>
      <c r="H165" s="13" t="n"/>
      <c r="I165" s="13" t="n"/>
      <c r="K165" s="6" t="n"/>
      <c r="L165" s="6" t="n"/>
    </row>
    <row r="166" ht="14.25" customHeight="1" s="24">
      <c r="A166" s="13">
        <f>IF(B166="","","DEF-"&amp;TEXT(ROW()-4,"0000"))</f>
        <v/>
      </c>
      <c r="B166" s="13" t="n"/>
      <c r="C166" s="13" t="n"/>
      <c r="D166" s="13" t="n"/>
      <c r="E166" s="13" t="n"/>
      <c r="F166" s="13" t="n"/>
      <c r="G166" s="13" t="n"/>
      <c r="H166" s="13" t="n"/>
      <c r="I166" s="13" t="n"/>
      <c r="K166" s="6" t="n"/>
      <c r="L166" s="6" t="n"/>
    </row>
    <row r="167" ht="14.25" customHeight="1" s="24">
      <c r="A167" s="13">
        <f>IF(B167="","","DEF-"&amp;TEXT(ROW()-4,"0000"))</f>
        <v/>
      </c>
      <c r="B167" s="13" t="n"/>
      <c r="C167" s="13" t="n"/>
      <c r="D167" s="13" t="n"/>
      <c r="E167" s="13" t="n"/>
      <c r="F167" s="13" t="n"/>
      <c r="G167" s="13" t="n"/>
      <c r="H167" s="13" t="n"/>
      <c r="I167" s="13" t="n"/>
      <c r="K167" s="6" t="n"/>
      <c r="L167" s="6" t="n"/>
    </row>
    <row r="168" ht="14.25" customHeight="1" s="24">
      <c r="A168" s="13">
        <f>IF(B168="","","DEF-"&amp;TEXT(ROW()-4,"0000"))</f>
        <v/>
      </c>
      <c r="B168" s="13" t="n"/>
      <c r="C168" s="13" t="n"/>
      <c r="D168" s="13" t="n"/>
      <c r="E168" s="13" t="n"/>
      <c r="F168" s="13" t="n"/>
      <c r="G168" s="13" t="n"/>
      <c r="H168" s="13" t="n"/>
      <c r="I168" s="13" t="n"/>
      <c r="K168" s="6" t="n"/>
      <c r="L168" s="6" t="n"/>
    </row>
    <row r="169" ht="14.25" customHeight="1" s="24">
      <c r="A169" s="13">
        <f>IF(B169="","","DEF-"&amp;TEXT(ROW()-4,"0000"))</f>
        <v/>
      </c>
      <c r="B169" s="13" t="n"/>
      <c r="C169" s="13" t="n"/>
      <c r="D169" s="13" t="n"/>
      <c r="E169" s="13" t="n"/>
      <c r="F169" s="13" t="n"/>
      <c r="G169" s="13" t="n"/>
      <c r="H169" s="13" t="n"/>
      <c r="I169" s="13" t="n"/>
      <c r="K169" s="6" t="n"/>
      <c r="L169" s="6" t="n"/>
    </row>
    <row r="170" ht="14.25" customHeight="1" s="24">
      <c r="A170" s="13">
        <f>IF(B170="","","DEF-"&amp;TEXT(ROW()-4,"0000"))</f>
        <v/>
      </c>
      <c r="B170" s="13" t="n"/>
      <c r="C170" s="13" t="n"/>
      <c r="D170" s="13" t="n"/>
      <c r="E170" s="13" t="n"/>
      <c r="F170" s="13" t="n"/>
      <c r="G170" s="13" t="n"/>
      <c r="H170" s="13" t="n"/>
      <c r="I170" s="13" t="n"/>
      <c r="K170" s="6" t="n"/>
      <c r="L170" s="6" t="n"/>
    </row>
    <row r="171" ht="14.25" customHeight="1" s="24">
      <c r="A171" s="13">
        <f>IF(B171="","","DEF-"&amp;TEXT(ROW()-4,"0000"))</f>
        <v/>
      </c>
      <c r="B171" s="13" t="n"/>
      <c r="C171" s="13" t="n"/>
      <c r="D171" s="13" t="n"/>
      <c r="E171" s="13" t="n"/>
      <c r="F171" s="13" t="n"/>
      <c r="G171" s="13" t="n"/>
      <c r="H171" s="13" t="n"/>
      <c r="I171" s="13" t="n"/>
      <c r="K171" s="6" t="n"/>
      <c r="L171" s="6" t="n"/>
    </row>
    <row r="172" ht="14.25" customHeight="1" s="24">
      <c r="A172" s="13">
        <f>IF(B172="","","DEF-"&amp;TEXT(ROW()-4,"0000"))</f>
        <v/>
      </c>
      <c r="B172" s="13" t="n"/>
      <c r="C172" s="13" t="n"/>
      <c r="D172" s="13" t="n"/>
      <c r="E172" s="13" t="n"/>
      <c r="F172" s="13" t="n"/>
      <c r="G172" s="13" t="n"/>
      <c r="H172" s="13" t="n"/>
      <c r="I172" s="13" t="n"/>
      <c r="K172" s="6" t="n"/>
      <c r="L172" s="6" t="n"/>
    </row>
    <row r="173" ht="14.25" customHeight="1" s="24">
      <c r="A173" s="13">
        <f>IF(B173="","","DEF-"&amp;TEXT(ROW()-4,"0000"))</f>
        <v/>
      </c>
      <c r="B173" s="13" t="n"/>
      <c r="C173" s="13" t="n"/>
      <c r="D173" s="13" t="n"/>
      <c r="E173" s="13" t="n"/>
      <c r="F173" s="13" t="n"/>
      <c r="G173" s="13" t="n"/>
      <c r="H173" s="13" t="n"/>
      <c r="I173" s="13" t="n"/>
      <c r="K173" s="6" t="n"/>
      <c r="L173" s="6" t="n"/>
    </row>
    <row r="174" ht="14.25" customHeight="1" s="24">
      <c r="A174" s="13">
        <f>IF(B174="","","DEF-"&amp;TEXT(ROW()-4,"0000"))</f>
        <v/>
      </c>
      <c r="B174" s="13" t="n"/>
      <c r="C174" s="13" t="n"/>
      <c r="D174" s="13" t="n"/>
      <c r="E174" s="13" t="n"/>
      <c r="F174" s="13" t="n"/>
      <c r="G174" s="13" t="n"/>
      <c r="H174" s="13" t="n"/>
      <c r="I174" s="13" t="n"/>
      <c r="K174" s="6" t="n"/>
      <c r="L174" s="6" t="n"/>
    </row>
    <row r="175" ht="14.25" customHeight="1" s="24">
      <c r="A175" s="13">
        <f>IF(B175="","","DEF-"&amp;TEXT(ROW()-4,"0000"))</f>
        <v/>
      </c>
      <c r="B175" s="13" t="n"/>
      <c r="C175" s="13" t="n"/>
      <c r="D175" s="13" t="n"/>
      <c r="E175" s="13" t="n"/>
      <c r="F175" s="13" t="n"/>
      <c r="G175" s="13" t="n"/>
      <c r="H175" s="13" t="n"/>
      <c r="I175" s="13" t="n"/>
      <c r="K175" s="6" t="n"/>
      <c r="L175" s="6" t="n"/>
    </row>
    <row r="176" ht="14.25" customHeight="1" s="24">
      <c r="A176" s="13">
        <f>IF(B176="","","DEF-"&amp;TEXT(ROW()-4,"0000"))</f>
        <v/>
      </c>
      <c r="B176" s="13" t="n"/>
      <c r="C176" s="13" t="n"/>
      <c r="D176" s="13" t="n"/>
      <c r="E176" s="13" t="n"/>
      <c r="F176" s="13" t="n"/>
      <c r="G176" s="13" t="n"/>
      <c r="H176" s="13" t="n"/>
      <c r="I176" s="13" t="n"/>
      <c r="K176" s="6" t="n"/>
      <c r="L176" s="6" t="n"/>
    </row>
    <row r="177" ht="14.25" customHeight="1" s="24">
      <c r="A177" s="13">
        <f>IF(B177="","","DEF-"&amp;TEXT(ROW()-4,"0000"))</f>
        <v/>
      </c>
      <c r="B177" s="13" t="n"/>
      <c r="C177" s="13" t="n"/>
      <c r="D177" s="13" t="n"/>
      <c r="E177" s="13" t="n"/>
      <c r="F177" s="13" t="n"/>
      <c r="G177" s="13" t="n"/>
      <c r="H177" s="13" t="n"/>
      <c r="I177" s="13" t="n"/>
      <c r="K177" s="6" t="n"/>
      <c r="L177" s="6" t="n"/>
    </row>
    <row r="178" ht="14.25" customHeight="1" s="24">
      <c r="A178" s="13">
        <f>IF(B178="","","DEF-"&amp;TEXT(ROW()-4,"0000"))</f>
        <v/>
      </c>
      <c r="B178" s="13" t="n"/>
      <c r="C178" s="13" t="n"/>
      <c r="D178" s="13" t="n"/>
      <c r="E178" s="13" t="n"/>
      <c r="F178" s="13" t="n"/>
      <c r="G178" s="13" t="n"/>
      <c r="H178" s="13" t="n"/>
      <c r="I178" s="13" t="n"/>
      <c r="K178" s="6" t="n"/>
      <c r="L178" s="6" t="n"/>
    </row>
    <row r="179" ht="14.25" customHeight="1" s="24">
      <c r="A179" s="13">
        <f>IF(B179="","","DEF-"&amp;TEXT(ROW()-4,"0000"))</f>
        <v/>
      </c>
      <c r="B179" s="13" t="n"/>
      <c r="C179" s="13" t="n"/>
      <c r="D179" s="13" t="n"/>
      <c r="E179" s="13" t="n"/>
      <c r="F179" s="13" t="n"/>
      <c r="G179" s="13" t="n"/>
      <c r="H179" s="13" t="n"/>
      <c r="I179" s="13" t="n"/>
      <c r="K179" s="6" t="n"/>
      <c r="L179" s="6" t="n"/>
    </row>
    <row r="180" ht="14.25" customHeight="1" s="24">
      <c r="A180" s="13">
        <f>IF(B180="","","DEF-"&amp;TEXT(ROW()-4,"0000"))</f>
        <v/>
      </c>
      <c r="B180" s="13" t="n"/>
      <c r="C180" s="13" t="n"/>
      <c r="D180" s="13" t="n"/>
      <c r="E180" s="13" t="n"/>
      <c r="F180" s="13" t="n"/>
      <c r="G180" s="13" t="n"/>
      <c r="H180" s="13" t="n"/>
      <c r="I180" s="13" t="n"/>
      <c r="K180" s="6" t="n"/>
      <c r="L180" s="6" t="n"/>
    </row>
    <row r="181" ht="14.25" customHeight="1" s="24">
      <c r="A181" s="13">
        <f>IF(B181="","","DEF-"&amp;TEXT(ROW()-4,"0000"))</f>
        <v/>
      </c>
      <c r="B181" s="13" t="n"/>
      <c r="C181" s="13" t="n"/>
      <c r="D181" s="13" t="n"/>
      <c r="E181" s="13" t="n"/>
      <c r="F181" s="13" t="n"/>
      <c r="G181" s="13" t="n"/>
      <c r="H181" s="13" t="n"/>
      <c r="I181" s="13" t="n"/>
      <c r="K181" s="6" t="n"/>
      <c r="L181" s="6" t="n"/>
    </row>
    <row r="182" ht="14.25" customHeight="1" s="24">
      <c r="A182" s="13">
        <f>IF(B182="","","DEF-"&amp;TEXT(ROW()-4,"0000"))</f>
        <v/>
      </c>
      <c r="B182" s="13" t="n"/>
      <c r="C182" s="13" t="n"/>
      <c r="D182" s="13" t="n"/>
      <c r="E182" s="13" t="n"/>
      <c r="F182" s="13" t="n"/>
      <c r="G182" s="13" t="n"/>
      <c r="H182" s="13" t="n"/>
      <c r="I182" s="13" t="n"/>
      <c r="K182" s="6" t="n"/>
      <c r="L182" s="6" t="n"/>
    </row>
    <row r="183" ht="14.25" customHeight="1" s="24">
      <c r="A183" s="13">
        <f>IF(B183="","","DEF-"&amp;TEXT(ROW()-4,"0000"))</f>
        <v/>
      </c>
      <c r="B183" s="13" t="n"/>
      <c r="C183" s="13" t="n"/>
      <c r="D183" s="13" t="n"/>
      <c r="E183" s="13" t="n"/>
      <c r="F183" s="13" t="n"/>
      <c r="G183" s="13" t="n"/>
      <c r="H183" s="13" t="n"/>
      <c r="I183" s="13" t="n"/>
      <c r="K183" s="6" t="n"/>
      <c r="L183" s="6" t="n"/>
    </row>
    <row r="184" ht="14.25" customHeight="1" s="24">
      <c r="A184" s="13">
        <f>IF(B184="","","DEF-"&amp;TEXT(ROW()-4,"0000"))</f>
        <v/>
      </c>
      <c r="B184" s="13" t="n"/>
      <c r="C184" s="13" t="n"/>
      <c r="D184" s="13" t="n"/>
      <c r="E184" s="13" t="n"/>
      <c r="F184" s="13" t="n"/>
      <c r="G184" s="13" t="n"/>
      <c r="H184" s="13" t="n"/>
      <c r="I184" s="13" t="n"/>
      <c r="K184" s="6" t="n"/>
      <c r="L184" s="6" t="n"/>
    </row>
    <row r="185" ht="14.25" customHeight="1" s="24">
      <c r="A185" s="13">
        <f>IF(B185="","","DEF-"&amp;TEXT(ROW()-4,"0000"))</f>
        <v/>
      </c>
      <c r="B185" s="13" t="n"/>
      <c r="C185" s="13" t="n"/>
      <c r="D185" s="13" t="n"/>
      <c r="E185" s="13" t="n"/>
      <c r="F185" s="13" t="n"/>
      <c r="G185" s="13" t="n"/>
      <c r="H185" s="13" t="n"/>
      <c r="I185" s="13" t="n"/>
      <c r="K185" s="6" t="n"/>
      <c r="L185" s="6" t="n"/>
    </row>
    <row r="186" ht="14.25" customHeight="1" s="24">
      <c r="A186" s="13">
        <f>IF(B186="","","DEF-"&amp;TEXT(ROW()-4,"0000"))</f>
        <v/>
      </c>
      <c r="B186" s="13" t="n"/>
      <c r="C186" s="13" t="n"/>
      <c r="D186" s="13" t="n"/>
      <c r="E186" s="13" t="n"/>
      <c r="F186" s="13" t="n"/>
      <c r="G186" s="13" t="n"/>
      <c r="H186" s="13" t="n"/>
      <c r="I186" s="13" t="n"/>
      <c r="K186" s="6" t="n"/>
      <c r="L186" s="6" t="n"/>
    </row>
    <row r="187" ht="14.25" customHeight="1" s="24">
      <c r="A187" s="13">
        <f>IF(B187="","","DEF-"&amp;TEXT(ROW()-4,"0000"))</f>
        <v/>
      </c>
      <c r="B187" s="13" t="n"/>
      <c r="C187" s="13" t="n"/>
      <c r="D187" s="13" t="n"/>
      <c r="E187" s="13" t="n"/>
      <c r="F187" s="13" t="n"/>
      <c r="G187" s="13" t="n"/>
      <c r="H187" s="13" t="n"/>
      <c r="I187" s="13" t="n"/>
      <c r="K187" s="6" t="n"/>
      <c r="L187" s="6" t="n"/>
    </row>
    <row r="188" ht="14.25" customHeight="1" s="24">
      <c r="A188" s="13">
        <f>IF(B188="","","DEF-"&amp;TEXT(ROW()-4,"0000"))</f>
        <v/>
      </c>
      <c r="B188" s="13" t="n"/>
      <c r="C188" s="13" t="n"/>
      <c r="D188" s="13" t="n"/>
      <c r="E188" s="13" t="n"/>
      <c r="F188" s="13" t="n"/>
      <c r="G188" s="13" t="n"/>
      <c r="H188" s="13" t="n"/>
      <c r="I188" s="13" t="n"/>
      <c r="K188" s="6" t="n"/>
      <c r="L188" s="6" t="n"/>
    </row>
    <row r="189" ht="14.25" customHeight="1" s="24">
      <c r="A189" s="13">
        <f>IF(B189="","","DEF-"&amp;TEXT(ROW()-4,"0000"))</f>
        <v/>
      </c>
      <c r="B189" s="13" t="n"/>
      <c r="C189" s="13" t="n"/>
      <c r="D189" s="13" t="n"/>
      <c r="E189" s="13" t="n"/>
      <c r="F189" s="13" t="n"/>
      <c r="G189" s="13" t="n"/>
      <c r="H189" s="13" t="n"/>
      <c r="I189" s="13" t="n"/>
      <c r="K189" s="6" t="n"/>
      <c r="L189" s="6" t="n"/>
    </row>
    <row r="190" ht="14.25" customHeight="1" s="24">
      <c r="A190" s="13">
        <f>IF(B190="","","DEF-"&amp;TEXT(ROW()-4,"0000"))</f>
        <v/>
      </c>
      <c r="B190" s="13" t="n"/>
      <c r="C190" s="13" t="n"/>
      <c r="D190" s="13" t="n"/>
      <c r="E190" s="13" t="n"/>
      <c r="F190" s="13" t="n"/>
      <c r="G190" s="13" t="n"/>
      <c r="H190" s="13" t="n"/>
      <c r="I190" s="13" t="n"/>
      <c r="K190" s="6" t="n"/>
      <c r="L190" s="6" t="n"/>
    </row>
    <row r="191" ht="14.25" customHeight="1" s="24">
      <c r="A191" s="13">
        <f>IF(B191="","","DEF-"&amp;TEXT(ROW()-4,"0000"))</f>
        <v/>
      </c>
      <c r="B191" s="13" t="n"/>
      <c r="C191" s="13" t="n"/>
      <c r="D191" s="13" t="n"/>
      <c r="E191" s="13" t="n"/>
      <c r="F191" s="13" t="n"/>
      <c r="G191" s="13" t="n"/>
      <c r="H191" s="13" t="n"/>
      <c r="I191" s="13" t="n"/>
      <c r="K191" s="6" t="n"/>
      <c r="L191" s="6" t="n"/>
    </row>
    <row r="192" ht="14.25" customHeight="1" s="24">
      <c r="A192" s="13">
        <f>IF(B192="","","DEF-"&amp;TEXT(ROW()-4,"0000"))</f>
        <v/>
      </c>
      <c r="B192" s="13" t="n"/>
      <c r="C192" s="13" t="n"/>
      <c r="D192" s="13" t="n"/>
      <c r="E192" s="13" t="n"/>
      <c r="F192" s="13" t="n"/>
      <c r="G192" s="13" t="n"/>
      <c r="H192" s="13" t="n"/>
      <c r="I192" s="13" t="n"/>
      <c r="K192" s="6" t="n"/>
      <c r="L192" s="6" t="n"/>
    </row>
    <row r="193" ht="14.25" customHeight="1" s="24">
      <c r="A193" s="13">
        <f>IF(B193="","","DEF-"&amp;TEXT(ROW()-4,"0000"))</f>
        <v/>
      </c>
      <c r="B193" s="13" t="n"/>
      <c r="C193" s="13" t="n"/>
      <c r="D193" s="13" t="n"/>
      <c r="E193" s="13" t="n"/>
      <c r="F193" s="13" t="n"/>
      <c r="G193" s="13" t="n"/>
      <c r="H193" s="13" t="n"/>
      <c r="I193" s="13" t="n"/>
      <c r="K193" s="6" t="n"/>
      <c r="L193" s="6" t="n"/>
    </row>
    <row r="194" ht="14.25" customHeight="1" s="24">
      <c r="A194" s="13">
        <f>IF(B194="","","DEF-"&amp;TEXT(ROW()-4,"0000"))</f>
        <v/>
      </c>
      <c r="B194" s="13" t="n"/>
      <c r="C194" s="13" t="n"/>
      <c r="D194" s="13" t="n"/>
      <c r="E194" s="13" t="n"/>
      <c r="F194" s="13" t="n"/>
      <c r="G194" s="13" t="n"/>
      <c r="H194" s="13" t="n"/>
      <c r="I194" s="13" t="n"/>
      <c r="K194" s="6" t="n"/>
      <c r="L194" s="6" t="n"/>
    </row>
    <row r="195" ht="14.25" customHeight="1" s="24">
      <c r="A195" s="13">
        <f>IF(B195="","","DEF-"&amp;TEXT(ROW()-4,"0000"))</f>
        <v/>
      </c>
      <c r="B195" s="13" t="n"/>
      <c r="C195" s="13" t="n"/>
      <c r="D195" s="13" t="n"/>
      <c r="E195" s="13" t="n"/>
      <c r="F195" s="13" t="n"/>
      <c r="G195" s="13" t="n"/>
      <c r="H195" s="13" t="n"/>
      <c r="I195" s="13" t="n"/>
      <c r="K195" s="6" t="n"/>
      <c r="L195" s="6" t="n"/>
    </row>
    <row r="196" ht="14.25" customHeight="1" s="24">
      <c r="A196" s="13">
        <f>IF(B196="","","DEF-"&amp;TEXT(ROW()-4,"0000"))</f>
        <v/>
      </c>
      <c r="B196" s="13" t="n"/>
      <c r="C196" s="13" t="n"/>
      <c r="D196" s="13" t="n"/>
      <c r="E196" s="13" t="n"/>
      <c r="F196" s="13" t="n"/>
      <c r="G196" s="13" t="n"/>
      <c r="H196" s="13" t="n"/>
      <c r="I196" s="13" t="n"/>
      <c r="K196" s="6" t="n"/>
      <c r="L196" s="6" t="n"/>
    </row>
    <row r="197" ht="14.25" customHeight="1" s="24">
      <c r="A197" s="13">
        <f>IF(B197="","","DEF-"&amp;TEXT(ROW()-4,"0000"))</f>
        <v/>
      </c>
      <c r="B197" s="13" t="n"/>
      <c r="C197" s="13" t="n"/>
      <c r="D197" s="13" t="n"/>
      <c r="E197" s="13" t="n"/>
      <c r="F197" s="13" t="n"/>
      <c r="G197" s="13" t="n"/>
      <c r="H197" s="13" t="n"/>
      <c r="I197" s="13" t="n"/>
      <c r="K197" s="6" t="n"/>
      <c r="L197" s="6" t="n"/>
    </row>
    <row r="198" ht="14.25" customHeight="1" s="24">
      <c r="A198" s="13">
        <f>IF(B198="","","DEF-"&amp;TEXT(ROW()-4,"0000"))</f>
        <v/>
      </c>
      <c r="B198" s="13" t="n"/>
      <c r="C198" s="13" t="n"/>
      <c r="D198" s="13" t="n"/>
      <c r="E198" s="13" t="n"/>
      <c r="F198" s="13" t="n"/>
      <c r="G198" s="13" t="n"/>
      <c r="H198" s="13" t="n"/>
      <c r="I198" s="13" t="n"/>
      <c r="K198" s="6" t="n"/>
      <c r="L198" s="6" t="n"/>
    </row>
    <row r="199" ht="14.25" customHeight="1" s="24">
      <c r="A199" s="13">
        <f>IF(B199="","","DEF-"&amp;TEXT(ROW()-4,"0000"))</f>
        <v/>
      </c>
      <c r="B199" s="13" t="n"/>
      <c r="C199" s="13" t="n"/>
      <c r="D199" s="13" t="n"/>
      <c r="E199" s="13" t="n"/>
      <c r="F199" s="13" t="n"/>
      <c r="G199" s="13" t="n"/>
      <c r="H199" s="13" t="n"/>
      <c r="I199" s="13" t="n"/>
      <c r="K199" s="6" t="n"/>
      <c r="L199" s="6" t="n"/>
    </row>
    <row r="200" ht="14.25" customHeight="1" s="24">
      <c r="A200" s="13">
        <f>IF(B200="","","DEF-"&amp;TEXT(ROW()-4,"0000"))</f>
        <v/>
      </c>
      <c r="B200" s="13" t="n"/>
      <c r="C200" s="13" t="n"/>
      <c r="D200" s="13" t="n"/>
      <c r="E200" s="13" t="n"/>
      <c r="F200" s="13" t="n"/>
      <c r="G200" s="13" t="n"/>
      <c r="H200" s="13" t="n"/>
      <c r="I200" s="13" t="n"/>
      <c r="K200" s="6" t="n"/>
      <c r="L200" s="6" t="n"/>
    </row>
    <row r="201" ht="14.25" customHeight="1" s="24">
      <c r="A201" s="13">
        <f>IF(B201="","","DEF-"&amp;TEXT(ROW()-4,"0000"))</f>
        <v/>
      </c>
      <c r="B201" s="13" t="n"/>
      <c r="C201" s="13" t="n"/>
      <c r="D201" s="13" t="n"/>
      <c r="E201" s="13" t="n"/>
      <c r="F201" s="13" t="n"/>
      <c r="G201" s="13" t="n"/>
      <c r="H201" s="13" t="n"/>
      <c r="I201" s="13" t="n"/>
      <c r="K201" s="6" t="n"/>
      <c r="L201" s="6" t="n"/>
    </row>
    <row r="202" ht="14.25" customHeight="1" s="24">
      <c r="A202" s="13">
        <f>IF(B202="","","DEF-"&amp;TEXT(ROW()-4,"0000"))</f>
        <v/>
      </c>
      <c r="B202" s="13" t="n"/>
      <c r="C202" s="13" t="n"/>
      <c r="D202" s="13" t="n"/>
      <c r="E202" s="13" t="n"/>
      <c r="F202" s="13" t="n"/>
      <c r="G202" s="13" t="n"/>
      <c r="H202" s="13" t="n"/>
      <c r="I202" s="13" t="n"/>
      <c r="K202" s="6" t="n"/>
      <c r="L202" s="6" t="n"/>
    </row>
    <row r="203" ht="14.25" customHeight="1" s="24">
      <c r="A203" s="13">
        <f>IF(B203="","","DEF-"&amp;TEXT(ROW()-4,"0000"))</f>
        <v/>
      </c>
      <c r="B203" s="13" t="n"/>
      <c r="C203" s="13" t="n"/>
      <c r="D203" s="13" t="n"/>
      <c r="E203" s="13" t="n"/>
      <c r="F203" s="13" t="n"/>
      <c r="G203" s="13" t="n"/>
      <c r="H203" s="13" t="n"/>
      <c r="I203" s="13" t="n"/>
      <c r="K203" s="6" t="n"/>
      <c r="L203" s="6" t="n"/>
    </row>
    <row r="204" ht="14.25" customHeight="1" s="24">
      <c r="A204" s="13">
        <f>IF(B204="","","DEF-"&amp;TEXT(ROW()-4,"0000"))</f>
        <v/>
      </c>
      <c r="B204" s="13" t="n"/>
      <c r="C204" s="13" t="n"/>
      <c r="D204" s="13" t="n"/>
      <c r="E204" s="13" t="n"/>
      <c r="F204" s="13" t="n"/>
      <c r="G204" s="13" t="n"/>
      <c r="H204" s="13" t="n"/>
      <c r="I204" s="13" t="n"/>
      <c r="K204" s="6" t="n"/>
      <c r="L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K205" s="6" t="n"/>
      <c r="L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K206" s="6" t="n"/>
      <c r="L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K207" s="6" t="n"/>
      <c r="L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K208" s="6" t="n"/>
      <c r="L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K209" s="6" t="n"/>
      <c r="L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K210" s="6" t="n"/>
      <c r="L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K211" s="6" t="n"/>
      <c r="L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K212" s="6" t="n"/>
      <c r="L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K213" s="6" t="n"/>
      <c r="L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K214" s="6" t="n"/>
      <c r="L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K215" s="6" t="n"/>
      <c r="L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K216" s="6" t="n"/>
      <c r="L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K217" s="6" t="n"/>
      <c r="L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K218" s="6" t="n"/>
      <c r="L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K219" s="6" t="n"/>
      <c r="L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K220" s="6" t="n"/>
      <c r="L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K221" s="6" t="n"/>
      <c r="L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K222" s="6" t="n"/>
      <c r="L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K223" s="6" t="n"/>
      <c r="L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K224" s="6" t="n"/>
      <c r="L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K225" s="6" t="n"/>
      <c r="L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K226" s="6" t="n"/>
      <c r="L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K227" s="6" t="n"/>
      <c r="L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K228" s="6" t="n"/>
      <c r="L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K229" s="6" t="n"/>
      <c r="L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K230" s="6" t="n"/>
      <c r="L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K231" s="6" t="n"/>
      <c r="L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K232" s="6" t="n"/>
      <c r="L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K233" s="6" t="n"/>
      <c r="L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K234" s="6" t="n"/>
      <c r="L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K235" s="6" t="n"/>
      <c r="L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K236" s="6" t="n"/>
      <c r="L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K237" s="6" t="n"/>
      <c r="L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K238" s="6" t="n"/>
      <c r="L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K239" s="6" t="n"/>
      <c r="L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K240" s="6" t="n"/>
      <c r="L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K241" s="6" t="n"/>
      <c r="L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K242" s="6" t="n"/>
      <c r="L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K243" s="6" t="n"/>
      <c r="L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K244" s="6" t="n"/>
      <c r="L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K245" s="6" t="n"/>
      <c r="L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K246" s="6" t="n"/>
      <c r="L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K247" s="6" t="n"/>
      <c r="L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K248" s="6" t="n"/>
      <c r="L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K249" s="6" t="n"/>
      <c r="L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K250" s="6" t="n"/>
      <c r="L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K251" s="6" t="n"/>
      <c r="L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K252" s="6" t="n"/>
      <c r="L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K253" s="6" t="n"/>
      <c r="L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K254" s="6" t="n"/>
      <c r="L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K255" s="6" t="n"/>
      <c r="L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K256" s="6" t="n"/>
      <c r="L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K257" s="6" t="n"/>
      <c r="L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K258" s="6" t="n"/>
      <c r="L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K259" s="6" t="n"/>
      <c r="L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K260" s="6" t="n"/>
      <c r="L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K261" s="6" t="n"/>
      <c r="L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K262" s="6" t="n"/>
      <c r="L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K263" s="6" t="n"/>
      <c r="L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K264" s="6" t="n"/>
      <c r="L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K265" s="6" t="n"/>
      <c r="L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K266" s="6" t="n"/>
      <c r="L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K267" s="6" t="n"/>
      <c r="L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K268" s="6" t="n"/>
      <c r="L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K269" s="6" t="n"/>
      <c r="L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K270" s="6" t="n"/>
      <c r="L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K271" s="6" t="n"/>
      <c r="L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K272" s="6" t="n"/>
      <c r="L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K273" s="6" t="n"/>
      <c r="L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K274" s="6" t="n"/>
      <c r="L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K275" s="6" t="n"/>
      <c r="L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K276" s="6" t="n"/>
      <c r="L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K277" s="6" t="n"/>
      <c r="L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K278" s="6" t="n"/>
      <c r="L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K279" s="6" t="n"/>
      <c r="L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K280" s="6" t="n"/>
      <c r="L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K281" s="6" t="n"/>
      <c r="L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K282" s="6" t="n"/>
      <c r="L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K283" s="6" t="n"/>
      <c r="L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K284" s="6" t="n"/>
      <c r="L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K285" s="6" t="n"/>
      <c r="L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K286" s="6" t="n"/>
      <c r="L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K287" s="6" t="n"/>
      <c r="L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K288" s="6" t="n"/>
      <c r="L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K289" s="6" t="n"/>
      <c r="L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K290" s="6" t="n"/>
      <c r="L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K291" s="6" t="n"/>
      <c r="L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K292" s="6" t="n"/>
      <c r="L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K293" s="6" t="n"/>
      <c r="L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K294" s="6" t="n"/>
      <c r="L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K295" s="6" t="n"/>
      <c r="L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K296" s="6" t="n"/>
      <c r="L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K297" s="6" t="n"/>
      <c r="L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K298" s="6" t="n"/>
      <c r="L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K299" s="6" t="n"/>
      <c r="L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K300" s="6" t="n"/>
      <c r="L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K301" s="6" t="n"/>
      <c r="L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K302" s="6" t="n"/>
      <c r="L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K303" s="6" t="n"/>
      <c r="L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K304" s="6" t="n"/>
      <c r="L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K305" s="6" t="n"/>
      <c r="L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K306" s="6" t="n"/>
      <c r="L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K307" s="6" t="n"/>
      <c r="L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K308" s="6" t="n"/>
      <c r="L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K309" s="6" t="n"/>
      <c r="L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K310" s="6" t="n"/>
      <c r="L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K311" s="6" t="n"/>
      <c r="L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K312" s="6" t="n"/>
      <c r="L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K313" s="6" t="n"/>
      <c r="L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K314" s="6" t="n"/>
      <c r="L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K315" s="6" t="n"/>
      <c r="L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K316" s="6" t="n"/>
      <c r="L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K317" s="6" t="n"/>
      <c r="L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K318" s="6" t="n"/>
      <c r="L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K319" s="6" t="n"/>
      <c r="L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K320" s="6" t="n"/>
      <c r="L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K321" s="6" t="n"/>
      <c r="L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K322" s="6" t="n"/>
      <c r="L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K323" s="6" t="n"/>
      <c r="L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K324" s="6" t="n"/>
      <c r="L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K325" s="6" t="n"/>
      <c r="L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K326" s="6" t="n"/>
      <c r="L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K327" s="6" t="n"/>
      <c r="L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K328" s="6" t="n"/>
      <c r="L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K329" s="6" t="n"/>
      <c r="L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K330" s="6" t="n"/>
      <c r="L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K331" s="6" t="n"/>
      <c r="L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K332" s="6" t="n"/>
      <c r="L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K333" s="6" t="n"/>
      <c r="L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K334" s="6" t="n"/>
      <c r="L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K335" s="6" t="n"/>
      <c r="L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K336" s="6" t="n"/>
      <c r="L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K337" s="6" t="n"/>
      <c r="L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K338" s="6" t="n"/>
      <c r="L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K339" s="6" t="n"/>
      <c r="L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K340" s="6" t="n"/>
      <c r="L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K341" s="6" t="n"/>
      <c r="L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K342" s="6" t="n"/>
      <c r="L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K343" s="6" t="n"/>
      <c r="L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K344" s="6" t="n"/>
      <c r="L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K345" s="6" t="n"/>
      <c r="L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K346" s="6" t="n"/>
      <c r="L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K347" s="6" t="n"/>
      <c r="L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K348" s="6" t="n"/>
      <c r="L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K349" s="6" t="n"/>
      <c r="L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K350" s="6" t="n"/>
      <c r="L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K351" s="6" t="n"/>
      <c r="L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K352" s="6" t="n"/>
      <c r="L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K353" s="6" t="n"/>
      <c r="L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K354" s="6" t="n"/>
      <c r="L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K355" s="6" t="n"/>
      <c r="L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K356" s="6" t="n"/>
      <c r="L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K357" s="6" t="n"/>
      <c r="L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K358" s="6" t="n"/>
      <c r="L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K359" s="6" t="n"/>
      <c r="L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K360" s="6" t="n"/>
      <c r="L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K361" s="6" t="n"/>
      <c r="L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K362" s="6" t="n"/>
      <c r="L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K363" s="6" t="n"/>
      <c r="L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K364" s="6" t="n"/>
      <c r="L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K365" s="6" t="n"/>
      <c r="L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K366" s="6" t="n"/>
      <c r="L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K367" s="6" t="n"/>
      <c r="L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K368" s="6" t="n"/>
      <c r="L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K369" s="6" t="n"/>
      <c r="L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K370" s="6" t="n"/>
      <c r="L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K371" s="6" t="n"/>
      <c r="L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K372" s="6" t="n"/>
      <c r="L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K373" s="6" t="n"/>
      <c r="L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K374" s="6" t="n"/>
      <c r="L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K375" s="6" t="n"/>
      <c r="L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K376" s="6" t="n"/>
      <c r="L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K377" s="6" t="n"/>
      <c r="L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K378" s="6" t="n"/>
      <c r="L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K379" s="6" t="n"/>
      <c r="L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K380" s="6" t="n"/>
      <c r="L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K381" s="6" t="n"/>
      <c r="L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K382" s="6" t="n"/>
      <c r="L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K383" s="6" t="n"/>
      <c r="L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K384" s="6" t="n"/>
      <c r="L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K385" s="6" t="n"/>
      <c r="L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K386" s="6" t="n"/>
      <c r="L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K387" s="6" t="n"/>
      <c r="L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K388" s="6" t="n"/>
      <c r="L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K389" s="6" t="n"/>
      <c r="L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K390" s="6" t="n"/>
      <c r="L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K391" s="6" t="n"/>
      <c r="L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K392" s="6" t="n"/>
      <c r="L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K393" s="6" t="n"/>
      <c r="L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K394" s="6" t="n"/>
      <c r="L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K395" s="6" t="n"/>
      <c r="L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K396" s="6" t="n"/>
      <c r="L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K397" s="6" t="n"/>
      <c r="L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K398" s="6" t="n"/>
      <c r="L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K399" s="6" t="n"/>
      <c r="L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K400" s="6" t="n"/>
      <c r="L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K401" s="6" t="n"/>
      <c r="L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K402" s="6" t="n"/>
      <c r="L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K403" s="6" t="n"/>
      <c r="L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K404" s="6" t="n"/>
      <c r="L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K405" s="6" t="n"/>
      <c r="L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K406" s="6" t="n"/>
      <c r="L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K407" s="6" t="n"/>
      <c r="L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K408" s="6" t="n"/>
      <c r="L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K409" s="6" t="n"/>
      <c r="L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K410" s="6" t="n"/>
      <c r="L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K411" s="6" t="n"/>
      <c r="L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K412" s="6" t="n"/>
      <c r="L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K413" s="6" t="n"/>
      <c r="L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K414" s="6" t="n"/>
      <c r="L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K415" s="6" t="n"/>
      <c r="L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K416" s="6" t="n"/>
      <c r="L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K417" s="6" t="n"/>
      <c r="L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K418" s="6" t="n"/>
      <c r="L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K419" s="6" t="n"/>
      <c r="L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K420" s="6" t="n"/>
      <c r="L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K421" s="6" t="n"/>
      <c r="L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K422" s="6" t="n"/>
      <c r="L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K423" s="6" t="n"/>
      <c r="L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K424" s="6" t="n"/>
      <c r="L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K425" s="6" t="n"/>
      <c r="L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K426" s="6" t="n"/>
      <c r="L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K427" s="6" t="n"/>
      <c r="L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K428" s="6" t="n"/>
      <c r="L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K429" s="6" t="n"/>
      <c r="L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K430" s="6" t="n"/>
      <c r="L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K431" s="6" t="n"/>
      <c r="L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K432" s="6" t="n"/>
      <c r="L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K433" s="6" t="n"/>
      <c r="L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K434" s="6" t="n"/>
      <c r="L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K435" s="6" t="n"/>
      <c r="L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K436" s="6" t="n"/>
      <c r="L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K437" s="6" t="n"/>
      <c r="L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K438" s="6" t="n"/>
      <c r="L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K439" s="6" t="n"/>
      <c r="L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K440" s="6" t="n"/>
      <c r="L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K441" s="6" t="n"/>
      <c r="L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K442" s="6" t="n"/>
      <c r="L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K443" s="6" t="n"/>
      <c r="L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K444" s="6" t="n"/>
      <c r="L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K445" s="6" t="n"/>
      <c r="L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K446" s="6" t="n"/>
      <c r="L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K447" s="6" t="n"/>
      <c r="L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K448" s="6" t="n"/>
      <c r="L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K449" s="6" t="n"/>
      <c r="L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K450" s="6" t="n"/>
      <c r="L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K451" s="6" t="n"/>
      <c r="L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K452" s="6" t="n"/>
      <c r="L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K453" s="6" t="n"/>
      <c r="L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K454" s="6" t="n"/>
      <c r="L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K455" s="6" t="n"/>
      <c r="L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K456" s="6" t="n"/>
      <c r="L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K457" s="6" t="n"/>
      <c r="L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K458" s="6" t="n"/>
      <c r="L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K459" s="6" t="n"/>
      <c r="L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K460" s="6" t="n"/>
      <c r="L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K461" s="6" t="n"/>
      <c r="L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K462" s="6" t="n"/>
      <c r="L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K463" s="6" t="n"/>
      <c r="L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K464" s="6" t="n"/>
      <c r="L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K465" s="6" t="n"/>
      <c r="L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K466" s="6" t="n"/>
      <c r="L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K467" s="6" t="n"/>
      <c r="L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K468" s="6" t="n"/>
      <c r="L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K469" s="6" t="n"/>
      <c r="L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K470" s="6" t="n"/>
      <c r="L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K471" s="6" t="n"/>
      <c r="L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K472" s="6" t="n"/>
      <c r="L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K473" s="6" t="n"/>
      <c r="L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K474" s="6" t="n"/>
      <c r="L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K475" s="6" t="n"/>
      <c r="L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K476" s="6" t="n"/>
      <c r="L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K477" s="6" t="n"/>
      <c r="L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K478" s="6" t="n"/>
      <c r="L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K479" s="6" t="n"/>
      <c r="L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K480" s="6" t="n"/>
      <c r="L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K481" s="6" t="n"/>
      <c r="L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K482" s="6" t="n"/>
      <c r="L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K483" s="6" t="n"/>
      <c r="L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K484" s="6" t="n"/>
      <c r="L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K485" s="6" t="n"/>
      <c r="L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K486" s="6" t="n"/>
      <c r="L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K487" s="6" t="n"/>
      <c r="L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K488" s="6" t="n"/>
      <c r="L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K489" s="6" t="n"/>
      <c r="L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K490" s="6" t="n"/>
      <c r="L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K491" s="6" t="n"/>
      <c r="L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K492" s="6" t="n"/>
      <c r="L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K493" s="6" t="n"/>
      <c r="L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K494" s="6" t="n"/>
      <c r="L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K495" s="6" t="n"/>
      <c r="L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K496" s="6" t="n"/>
      <c r="L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K497" s="6" t="n"/>
      <c r="L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K498" s="6" t="n"/>
      <c r="L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K499" s="6" t="n"/>
      <c r="L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K500" s="6" t="n"/>
      <c r="L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K501" s="6" t="n"/>
      <c r="L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K502" s="6" t="n"/>
      <c r="L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K503" s="6" t="n"/>
      <c r="L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K504" s="6" t="n"/>
      <c r="L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K505" s="6" t="n"/>
      <c r="L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K506" s="6" t="n"/>
      <c r="L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K507" s="6" t="n"/>
      <c r="L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K508" s="6" t="n"/>
      <c r="L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K509" s="6" t="n"/>
      <c r="L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K510" s="6" t="n"/>
      <c r="L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K511" s="6" t="n"/>
      <c r="L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K512" s="6" t="n"/>
      <c r="L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K513" s="6" t="n"/>
      <c r="L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K514" s="6" t="n"/>
      <c r="L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K515" s="6" t="n"/>
      <c r="L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K516" s="6" t="n"/>
      <c r="L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K517" s="6" t="n"/>
      <c r="L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K518" s="6" t="n"/>
      <c r="L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K519" s="6" t="n"/>
      <c r="L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K520" s="6" t="n"/>
      <c r="L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K521" s="6" t="n"/>
      <c r="L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K522" s="6" t="n"/>
      <c r="L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K523" s="6" t="n"/>
      <c r="L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K524" s="6" t="n"/>
      <c r="L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K525" s="6" t="n"/>
      <c r="L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K526" s="6" t="n"/>
      <c r="L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K527" s="6" t="n"/>
      <c r="L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K528" s="6" t="n"/>
      <c r="L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K529" s="6" t="n"/>
      <c r="L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K530" s="6" t="n"/>
      <c r="L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K531" s="6" t="n"/>
      <c r="L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K532" s="6" t="n"/>
      <c r="L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K533" s="6" t="n"/>
      <c r="L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K534" s="6" t="n"/>
      <c r="L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K535" s="6" t="n"/>
      <c r="L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K536" s="6" t="n"/>
      <c r="L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K537" s="6" t="n"/>
      <c r="L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K538" s="6" t="n"/>
      <c r="L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K539" s="6" t="n"/>
      <c r="L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K540" s="6" t="n"/>
      <c r="L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K541" s="6" t="n"/>
      <c r="L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K542" s="6" t="n"/>
      <c r="L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K543" s="6" t="n"/>
      <c r="L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K544" s="6" t="n"/>
      <c r="L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K545" s="6" t="n"/>
      <c r="L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K546" s="6" t="n"/>
      <c r="L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K547" s="6" t="n"/>
      <c r="L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K548" s="6" t="n"/>
      <c r="L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K549" s="6" t="n"/>
      <c r="L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K550" s="6" t="n"/>
      <c r="L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K551" s="6" t="n"/>
      <c r="L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K552" s="6" t="n"/>
      <c r="L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K553" s="6" t="n"/>
      <c r="L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K554" s="6" t="n"/>
      <c r="L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K555" s="6" t="n"/>
      <c r="L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K556" s="6" t="n"/>
      <c r="L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K557" s="6" t="n"/>
      <c r="L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K558" s="6" t="n"/>
      <c r="L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K559" s="6" t="n"/>
      <c r="L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K560" s="6" t="n"/>
      <c r="L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K561" s="6" t="n"/>
      <c r="L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K562" s="6" t="n"/>
      <c r="L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K563" s="6" t="n"/>
      <c r="L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K564" s="6" t="n"/>
      <c r="L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K565" s="6" t="n"/>
      <c r="L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K566" s="6" t="n"/>
      <c r="L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K567" s="6" t="n"/>
      <c r="L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K568" s="6" t="n"/>
      <c r="L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K569" s="6" t="n"/>
      <c r="L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K570" s="6" t="n"/>
      <c r="L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K571" s="6" t="n"/>
      <c r="L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K572" s="6" t="n"/>
      <c r="L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K573" s="6" t="n"/>
      <c r="L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K574" s="6" t="n"/>
      <c r="L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K575" s="6" t="n"/>
      <c r="L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K576" s="6" t="n"/>
      <c r="L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K577" s="6" t="n"/>
      <c r="L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K578" s="6" t="n"/>
      <c r="L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K579" s="6" t="n"/>
      <c r="L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K580" s="6" t="n"/>
      <c r="L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K581" s="6" t="n"/>
      <c r="L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K582" s="6" t="n"/>
      <c r="L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K583" s="6" t="n"/>
      <c r="L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K584" s="6" t="n"/>
      <c r="L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K585" s="6" t="n"/>
      <c r="L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K586" s="6" t="n"/>
      <c r="L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K587" s="6" t="n"/>
      <c r="L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K588" s="6" t="n"/>
      <c r="L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K589" s="6" t="n"/>
      <c r="L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K590" s="6" t="n"/>
      <c r="L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K591" s="6" t="n"/>
      <c r="L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K592" s="6" t="n"/>
      <c r="L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K593" s="6" t="n"/>
      <c r="L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K594" s="6" t="n"/>
      <c r="L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K595" s="6" t="n"/>
      <c r="L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K596" s="6" t="n"/>
      <c r="L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K597" s="6" t="n"/>
      <c r="L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K598" s="6" t="n"/>
      <c r="L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K599" s="6" t="n"/>
      <c r="L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K600" s="6" t="n"/>
      <c r="L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K601" s="6" t="n"/>
      <c r="L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K602" s="6" t="n"/>
      <c r="L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K603" s="6" t="n"/>
      <c r="L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K604" s="6" t="n"/>
      <c r="L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K605" s="6" t="n"/>
      <c r="L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K606" s="6" t="n"/>
      <c r="L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K607" s="6" t="n"/>
      <c r="L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K608" s="6" t="n"/>
      <c r="L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K609" s="6" t="n"/>
      <c r="L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K610" s="6" t="n"/>
      <c r="L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K611" s="6" t="n"/>
      <c r="L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K612" s="6" t="n"/>
      <c r="L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K613" s="6" t="n"/>
      <c r="L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K614" s="6" t="n"/>
      <c r="L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K615" s="6" t="n"/>
      <c r="L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K616" s="6" t="n"/>
      <c r="L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K617" s="6" t="n"/>
      <c r="L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K618" s="6" t="n"/>
      <c r="L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K619" s="6" t="n"/>
      <c r="L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K620" s="6" t="n"/>
      <c r="L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K621" s="6" t="n"/>
      <c r="L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K622" s="6" t="n"/>
      <c r="L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K623" s="6" t="n"/>
      <c r="L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K624" s="6" t="n"/>
      <c r="L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K625" s="6" t="n"/>
      <c r="L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K626" s="6" t="n"/>
      <c r="L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K627" s="6" t="n"/>
      <c r="L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K628" s="6" t="n"/>
      <c r="L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K629" s="6" t="n"/>
      <c r="L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K630" s="6" t="n"/>
      <c r="L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K631" s="6" t="n"/>
      <c r="L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K632" s="6" t="n"/>
      <c r="L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K633" s="6" t="n"/>
      <c r="L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K634" s="6" t="n"/>
      <c r="L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K635" s="6" t="n"/>
      <c r="L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K636" s="6" t="n"/>
      <c r="L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K637" s="6" t="n"/>
      <c r="L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K638" s="6" t="n"/>
      <c r="L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K639" s="6" t="n"/>
      <c r="L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K640" s="6" t="n"/>
      <c r="L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K641" s="6" t="n"/>
      <c r="L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K642" s="6" t="n"/>
      <c r="L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K643" s="6" t="n"/>
      <c r="L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K644" s="6" t="n"/>
      <c r="L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K645" s="6" t="n"/>
      <c r="L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K646" s="6" t="n"/>
      <c r="L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K647" s="6" t="n"/>
      <c r="L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K648" s="6" t="n"/>
      <c r="L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K649" s="6" t="n"/>
      <c r="L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K650" s="6" t="n"/>
      <c r="L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K651" s="6" t="n"/>
      <c r="L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K652" s="6" t="n"/>
      <c r="L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K653" s="6" t="n"/>
      <c r="L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K654" s="6" t="n"/>
      <c r="L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K655" s="6" t="n"/>
      <c r="L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K656" s="6" t="n"/>
      <c r="L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K657" s="6" t="n"/>
      <c r="L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K658" s="6" t="n"/>
      <c r="L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K659" s="6" t="n"/>
      <c r="L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K660" s="6" t="n"/>
      <c r="L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K661" s="6" t="n"/>
      <c r="L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K662" s="6" t="n"/>
      <c r="L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K663" s="6" t="n"/>
      <c r="L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K664" s="6" t="n"/>
      <c r="L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K665" s="6" t="n"/>
      <c r="L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K666" s="6" t="n"/>
      <c r="L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K667" s="6" t="n"/>
      <c r="L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K668" s="6" t="n"/>
      <c r="L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K669" s="6" t="n"/>
      <c r="L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K670" s="6" t="n"/>
      <c r="L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K671" s="6" t="n"/>
      <c r="L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K672" s="6" t="n"/>
      <c r="L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K673" s="6" t="n"/>
      <c r="L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K674" s="6" t="n"/>
      <c r="L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K675" s="6" t="n"/>
      <c r="L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K676" s="6" t="n"/>
      <c r="L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K677" s="6" t="n"/>
      <c r="L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K678" s="6" t="n"/>
      <c r="L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K679" s="6" t="n"/>
      <c r="L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K680" s="6" t="n"/>
      <c r="L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K681" s="6" t="n"/>
      <c r="L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K682" s="6" t="n"/>
      <c r="L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K683" s="6" t="n"/>
      <c r="L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K684" s="6" t="n"/>
      <c r="L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K685" s="6" t="n"/>
      <c r="L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K686" s="6" t="n"/>
      <c r="L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K687" s="6" t="n"/>
      <c r="L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K688" s="6" t="n"/>
      <c r="L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K689" s="6" t="n"/>
      <c r="L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K690" s="6" t="n"/>
      <c r="L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K691" s="6" t="n"/>
      <c r="L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K692" s="6" t="n"/>
      <c r="L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K693" s="6" t="n"/>
      <c r="L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K694" s="6" t="n"/>
      <c r="L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K695" s="6" t="n"/>
      <c r="L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K696" s="6" t="n"/>
      <c r="L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K697" s="6" t="n"/>
      <c r="L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K698" s="6" t="n"/>
      <c r="L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K699" s="6" t="n"/>
      <c r="L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K700" s="6" t="n"/>
      <c r="L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K701" s="6" t="n"/>
      <c r="L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K702" s="6" t="n"/>
      <c r="L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K703" s="6" t="n"/>
      <c r="L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K704" s="6" t="n"/>
      <c r="L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K705" s="6" t="n"/>
      <c r="L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K706" s="6" t="n"/>
      <c r="L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K707" s="6" t="n"/>
      <c r="L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K708" s="6" t="n"/>
      <c r="L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K709" s="6" t="n"/>
      <c r="L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K710" s="6" t="n"/>
      <c r="L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K711" s="6" t="n"/>
      <c r="L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K712" s="6" t="n"/>
      <c r="L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K713" s="6" t="n"/>
      <c r="L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K714" s="6" t="n"/>
      <c r="L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K715" s="6" t="n"/>
      <c r="L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K716" s="6" t="n"/>
      <c r="L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K717" s="6" t="n"/>
      <c r="L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K718" s="6" t="n"/>
      <c r="L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K719" s="6" t="n"/>
      <c r="L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K720" s="6" t="n"/>
      <c r="L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K721" s="6" t="n"/>
      <c r="L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K722" s="6" t="n"/>
      <c r="L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K723" s="6" t="n"/>
      <c r="L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K724" s="6" t="n"/>
      <c r="L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K725" s="6" t="n"/>
      <c r="L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K726" s="6" t="n"/>
      <c r="L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K727" s="6" t="n"/>
      <c r="L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K728" s="6" t="n"/>
      <c r="L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K729" s="6" t="n"/>
      <c r="L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K730" s="6" t="n"/>
      <c r="L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K731" s="6" t="n"/>
      <c r="L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K732" s="6" t="n"/>
      <c r="L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K733" s="6" t="n"/>
      <c r="L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K734" s="6" t="n"/>
      <c r="L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K735" s="6" t="n"/>
      <c r="L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K736" s="6" t="n"/>
      <c r="L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K737" s="6" t="n"/>
      <c r="L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K738" s="6" t="n"/>
      <c r="L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K739" s="6" t="n"/>
      <c r="L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K740" s="6" t="n"/>
      <c r="L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K741" s="6" t="n"/>
      <c r="L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K742" s="6" t="n"/>
      <c r="L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K743" s="6" t="n"/>
      <c r="L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K744" s="6" t="n"/>
      <c r="L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K745" s="6" t="n"/>
      <c r="L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K746" s="6" t="n"/>
      <c r="L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K747" s="6" t="n"/>
      <c r="L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K748" s="6" t="n"/>
      <c r="L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K749" s="6" t="n"/>
      <c r="L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K750" s="6" t="n"/>
      <c r="L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K751" s="6" t="n"/>
      <c r="L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K752" s="6" t="n"/>
      <c r="L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K753" s="6" t="n"/>
      <c r="L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K754" s="6" t="n"/>
      <c r="L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K755" s="6" t="n"/>
      <c r="L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K756" s="6" t="n"/>
      <c r="L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K757" s="6" t="n"/>
      <c r="L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K758" s="6" t="n"/>
      <c r="L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K759" s="6" t="n"/>
      <c r="L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K760" s="6" t="n"/>
      <c r="L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K761" s="6" t="n"/>
      <c r="L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K762" s="6" t="n"/>
      <c r="L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K763" s="6" t="n"/>
      <c r="L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K764" s="6" t="n"/>
      <c r="L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K765" s="6" t="n"/>
      <c r="L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K766" s="6" t="n"/>
      <c r="L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K767" s="6" t="n"/>
      <c r="L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K768" s="6" t="n"/>
      <c r="L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K769" s="6" t="n"/>
      <c r="L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K770" s="6" t="n"/>
      <c r="L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K771" s="6" t="n"/>
      <c r="L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K772" s="6" t="n"/>
      <c r="L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K773" s="6" t="n"/>
      <c r="L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K774" s="6" t="n"/>
      <c r="L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K775" s="6" t="n"/>
      <c r="L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K776" s="6" t="n"/>
      <c r="L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K777" s="6" t="n"/>
      <c r="L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K778" s="6" t="n"/>
      <c r="L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K779" s="6" t="n"/>
      <c r="L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K780" s="6" t="n"/>
      <c r="L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K781" s="6" t="n"/>
      <c r="L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K782" s="6" t="n"/>
      <c r="L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K783" s="6" t="n"/>
      <c r="L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K784" s="6" t="n"/>
      <c r="L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K785" s="6" t="n"/>
      <c r="L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K786" s="6" t="n"/>
      <c r="L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K787" s="6" t="n"/>
      <c r="L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K788" s="6" t="n"/>
      <c r="L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K789" s="6" t="n"/>
      <c r="L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K790" s="6" t="n"/>
      <c r="L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K791" s="6" t="n"/>
      <c r="L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K792" s="6" t="n"/>
      <c r="L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K793" s="6" t="n"/>
      <c r="L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K794" s="6" t="n"/>
      <c r="L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K795" s="6" t="n"/>
      <c r="L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K796" s="6" t="n"/>
      <c r="L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K797" s="6" t="n"/>
      <c r="L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K798" s="6" t="n"/>
      <c r="L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K799" s="6" t="n"/>
      <c r="L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K800" s="6" t="n"/>
      <c r="L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K801" s="6" t="n"/>
      <c r="L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K802" s="6" t="n"/>
      <c r="L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K803" s="6" t="n"/>
      <c r="L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K804" s="6" t="n"/>
      <c r="L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K805" s="6" t="n"/>
      <c r="L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K806" s="6" t="n"/>
      <c r="L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K807" s="6" t="n"/>
      <c r="L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K808" s="6" t="n"/>
      <c r="L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K809" s="6" t="n"/>
      <c r="L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K810" s="6" t="n"/>
      <c r="L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K811" s="6" t="n"/>
      <c r="L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K812" s="6" t="n"/>
      <c r="L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K813" s="6" t="n"/>
      <c r="L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K814" s="6" t="n"/>
      <c r="L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K815" s="6" t="n"/>
      <c r="L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K816" s="6" t="n"/>
      <c r="L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K817" s="6" t="n"/>
      <c r="L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K818" s="6" t="n"/>
      <c r="L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K819" s="6" t="n"/>
      <c r="L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K820" s="6" t="n"/>
      <c r="L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K821" s="6" t="n"/>
      <c r="L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K822" s="6" t="n"/>
      <c r="L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K823" s="6" t="n"/>
      <c r="L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K824" s="6" t="n"/>
      <c r="L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K825" s="6" t="n"/>
      <c r="L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K826" s="6" t="n"/>
      <c r="L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K827" s="6" t="n"/>
      <c r="L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K828" s="6" t="n"/>
      <c r="L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K829" s="6" t="n"/>
      <c r="L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K830" s="6" t="n"/>
      <c r="L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K831" s="6" t="n"/>
      <c r="L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K832" s="6" t="n"/>
      <c r="L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K833" s="6" t="n"/>
      <c r="L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K834" s="6" t="n"/>
      <c r="L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K835" s="6" t="n"/>
      <c r="L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K836" s="6" t="n"/>
      <c r="L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K837" s="6" t="n"/>
      <c r="L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K838" s="6" t="n"/>
      <c r="L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K839" s="6" t="n"/>
      <c r="L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K840" s="6" t="n"/>
      <c r="L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K841" s="6" t="n"/>
      <c r="L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K842" s="6" t="n"/>
      <c r="L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K843" s="6" t="n"/>
      <c r="L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K844" s="6" t="n"/>
      <c r="L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K845" s="6" t="n"/>
      <c r="L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K846" s="6" t="n"/>
      <c r="L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K847" s="6" t="n"/>
      <c r="L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K848" s="6" t="n"/>
      <c r="L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K849" s="6" t="n"/>
      <c r="L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K850" s="6" t="n"/>
      <c r="L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K851" s="6" t="n"/>
      <c r="L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K852" s="6" t="n"/>
      <c r="L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K853" s="6" t="n"/>
      <c r="L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K854" s="6" t="n"/>
      <c r="L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K855" s="6" t="n"/>
      <c r="L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K856" s="6" t="n"/>
      <c r="L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K857" s="6" t="n"/>
      <c r="L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K858" s="6" t="n"/>
      <c r="L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K859" s="6" t="n"/>
      <c r="L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K860" s="6" t="n"/>
      <c r="L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K861" s="6" t="n"/>
      <c r="L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K862" s="6" t="n"/>
      <c r="L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K863" s="6" t="n"/>
      <c r="L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K864" s="6" t="n"/>
      <c r="L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K865" s="6" t="n"/>
      <c r="L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K866" s="6" t="n"/>
      <c r="L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K867" s="6" t="n"/>
      <c r="L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K868" s="6" t="n"/>
      <c r="L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K869" s="6" t="n"/>
      <c r="L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K870" s="6" t="n"/>
      <c r="L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K871" s="6" t="n"/>
      <c r="L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K872" s="6" t="n"/>
      <c r="L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K873" s="6" t="n"/>
      <c r="L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K874" s="6" t="n"/>
      <c r="L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K875" s="6" t="n"/>
      <c r="L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K876" s="6" t="n"/>
      <c r="L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K877" s="6" t="n"/>
      <c r="L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K878" s="6" t="n"/>
      <c r="L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K879" s="6" t="n"/>
      <c r="L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K880" s="6" t="n"/>
      <c r="L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K881" s="6" t="n"/>
      <c r="L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K882" s="6" t="n"/>
      <c r="L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K883" s="6" t="n"/>
      <c r="L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K884" s="6" t="n"/>
      <c r="L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K885" s="6" t="n"/>
      <c r="L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K886" s="6" t="n"/>
      <c r="L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K887" s="6" t="n"/>
      <c r="L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K888" s="6" t="n"/>
      <c r="L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K889" s="6" t="n"/>
      <c r="L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K890" s="6" t="n"/>
      <c r="L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K891" s="6" t="n"/>
      <c r="L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K892" s="6" t="n"/>
      <c r="L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K893" s="6" t="n"/>
      <c r="L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K894" s="6" t="n"/>
      <c r="L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K895" s="6" t="n"/>
      <c r="L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K896" s="6" t="n"/>
      <c r="L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K897" s="6" t="n"/>
      <c r="L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K898" s="6" t="n"/>
      <c r="L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K899" s="6" t="n"/>
      <c r="L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K900" s="6" t="n"/>
      <c r="L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K901" s="6" t="n"/>
      <c r="L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K902" s="6" t="n"/>
      <c r="L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K903" s="6" t="n"/>
      <c r="L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K904" s="6" t="n"/>
      <c r="L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K905" s="6" t="n"/>
      <c r="L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K906" s="6" t="n"/>
      <c r="L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K907" s="6" t="n"/>
      <c r="L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K908" s="6" t="n"/>
      <c r="L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K909" s="6" t="n"/>
      <c r="L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K910" s="6" t="n"/>
      <c r="L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K911" s="6" t="n"/>
      <c r="L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K912" s="6" t="n"/>
      <c r="L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K913" s="6" t="n"/>
      <c r="L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K914" s="6" t="n"/>
      <c r="L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K915" s="6" t="n"/>
      <c r="L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K916" s="6" t="n"/>
      <c r="L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K917" s="6" t="n"/>
      <c r="L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K918" s="6" t="n"/>
      <c r="L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K919" s="6" t="n"/>
      <c r="L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K920" s="6" t="n"/>
      <c r="L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K921" s="6" t="n"/>
      <c r="L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K922" s="6" t="n"/>
      <c r="L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K923" s="6" t="n"/>
      <c r="L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K924" s="6" t="n"/>
      <c r="L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K925" s="6" t="n"/>
      <c r="L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K926" s="6" t="n"/>
      <c r="L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K927" s="6" t="n"/>
      <c r="L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K928" s="6" t="n"/>
      <c r="L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K929" s="6" t="n"/>
      <c r="L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K930" s="6" t="n"/>
      <c r="L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K931" s="6" t="n"/>
      <c r="L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K932" s="6" t="n"/>
      <c r="L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K933" s="6" t="n"/>
      <c r="L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K934" s="6" t="n"/>
      <c r="L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K935" s="6" t="n"/>
      <c r="L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K936" s="6" t="n"/>
      <c r="L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K937" s="6" t="n"/>
      <c r="L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K938" s="6" t="n"/>
      <c r="L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K939" s="6" t="n"/>
      <c r="L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K940" s="6" t="n"/>
      <c r="L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K941" s="6" t="n"/>
      <c r="L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K942" s="6" t="n"/>
      <c r="L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K943" s="6" t="n"/>
      <c r="L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K944" s="6" t="n"/>
      <c r="L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K945" s="6" t="n"/>
      <c r="L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K946" s="6" t="n"/>
      <c r="L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K947" s="6" t="n"/>
      <c r="L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K948" s="6" t="n"/>
      <c r="L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K949" s="6" t="n"/>
      <c r="L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K950" s="6" t="n"/>
      <c r="L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K951" s="6" t="n"/>
      <c r="L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K952" s="6" t="n"/>
      <c r="L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K953" s="6" t="n"/>
      <c r="L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K954" s="6" t="n"/>
      <c r="L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K955" s="6" t="n"/>
      <c r="L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K956" s="6" t="n"/>
      <c r="L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K957" s="6" t="n"/>
      <c r="L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K958" s="6" t="n"/>
      <c r="L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K959" s="6" t="n"/>
      <c r="L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K960" s="6" t="n"/>
      <c r="L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K961" s="6" t="n"/>
      <c r="L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K962" s="6" t="n"/>
      <c r="L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K963" s="6" t="n"/>
      <c r="L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K964" s="6" t="n"/>
      <c r="L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K965" s="6" t="n"/>
      <c r="L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K966" s="6" t="n"/>
      <c r="L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K967" s="6" t="n"/>
      <c r="L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K968" s="6" t="n"/>
      <c r="L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K969" s="6" t="n"/>
      <c r="L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K970" s="6" t="n"/>
      <c r="L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K971" s="6" t="n"/>
      <c r="L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K972" s="6" t="n"/>
      <c r="L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K973" s="6" t="n"/>
      <c r="L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K974" s="6" t="n"/>
      <c r="L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K975" s="6" t="n"/>
      <c r="L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K976" s="6" t="n"/>
      <c r="L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K977" s="6" t="n"/>
      <c r="L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K978" s="6" t="n"/>
      <c r="L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K979" s="6" t="n"/>
      <c r="L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K980" s="6" t="n"/>
      <c r="L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K981" s="6" t="n"/>
      <c r="L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K982" s="6" t="n"/>
      <c r="L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K983" s="6" t="n"/>
      <c r="L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K984" s="6" t="n"/>
      <c r="L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K985" s="6" t="n"/>
      <c r="L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K986" s="6" t="n"/>
      <c r="L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K987" s="6" t="n"/>
      <c r="L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K988" s="6" t="n"/>
      <c r="L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K989" s="6" t="n"/>
      <c r="L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K990" s="6" t="n"/>
      <c r="L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K991" s="6" t="n"/>
      <c r="L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K992" s="6" t="n"/>
      <c r="L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K993" s="6" t="n"/>
      <c r="L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K994" s="6" t="n"/>
      <c r="L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K995" s="6" t="n"/>
      <c r="L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K996" s="6" t="n"/>
      <c r="L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K997" s="6" t="n"/>
      <c r="L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K998" s="6" t="n"/>
      <c r="L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K999" s="6" t="n"/>
      <c r="L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K1000" s="6" t="n"/>
      <c r="L1000" s="6" t="n"/>
    </row>
  </sheetData>
  <mergeCells count="3">
    <mergeCell ref="A1:I1"/>
    <mergeCell ref="A2:I2"/>
    <mergeCell ref="K1:L1"/>
  </mergeCells>
  <conditionalFormatting sqref="F5:F204">
    <cfRule type="expression" priority="1" dxfId="5">
      <formula>F5="Critical"</formula>
    </cfRule>
    <cfRule type="expression" priority="2" dxfId="6">
      <formula>F5="High"</formula>
    </cfRule>
    <cfRule type="expression" priority="3" dxfId="2">
      <formula>F5="Medium"</formula>
    </cfRule>
    <cfRule type="expression" priority="4" dxfId="0">
      <formula>F5="Low"</formula>
    </cfRule>
  </conditionalFormatting>
  <conditionalFormatting sqref="G5:G204">
    <cfRule type="expression" priority="5" dxfId="5">
      <formula>G5="Open"</formula>
    </cfRule>
    <cfRule type="expression" priority="6" dxfId="2">
      <formula>G5="In Progress"</formula>
    </cfRule>
    <cfRule type="expression" priority="7" dxfId="1">
      <formula>G5="Resolved"</formula>
    </cfRule>
    <cfRule type="expression" priority="8" dxfId="4">
      <formula>G5="Closed"</formula>
    </cfRule>
    <cfRule type="expression" priority="9" dxfId="7">
      <formula>G5="Deferred"</formula>
    </cfRule>
  </conditionalFormatting>
  <dataValidations count="4">
    <dataValidation sqref="C5:C204" showDropDown="0" showInputMessage="0" showErrorMessage="0" allowBlank="1" type="list">
      <formula1>"Watermark Engine,Register Artwork,Artwork Registry,Artwork Detail,Verify Image,Verification History,Technical Report,Dashboard,Storage Retrieval,Interface Responsive,Core Workflows"</formula1>
    </dataValidation>
    <dataValidation sqref="G5:G204" showDropDown="0" showInputMessage="0" showErrorMessage="0" allowBlank="1" type="list">
      <formula1>"Open,In Progress,Resolved,Closed,Deferred,Not a Defect"</formula1>
    </dataValidation>
    <dataValidation sqref="E5:E204" showDropDown="0" showInputMessage="0" showErrorMessage="0" allowBlank="1" type="list">
      <formula1>"Chrome,Edge,Firefox,Opera,All Supported Browsers,N/A"</formula1>
    </dataValidation>
    <dataValidation sqref="F5:F204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24" min="1" max="1"/>
    <col width="14" customWidth="1" style="24" min="2" max="9"/>
    <col width="16" customWidth="1" style="24" min="10" max="10"/>
    <col width="8.630000000000001" customWidth="1" style="24" min="11" max="26"/>
  </cols>
  <sheetData>
    <row r="1" ht="20.25" customHeight="1" s="24">
      <c r="A1" s="25" t="inlineStr">
        <is>
          <t>Artifact Test Case Summary</t>
        </is>
      </c>
    </row>
    <row r="2" ht="15" customHeight="1" s="24">
      <c r="A2" s="31" t="inlineStr">
        <is>
          <t>Live summary linked to each module sheet. Execution counts update as test statuses are changed.</t>
        </is>
      </c>
    </row>
    <row r="3" ht="14.25" customHeight="1" s="24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 ht="15" customHeight="1" s="24">
      <c r="A4" s="12" t="inlineStr">
        <is>
          <t>Module</t>
        </is>
      </c>
      <c r="B4" s="12" t="inlineStr">
        <is>
          <t>Module Code</t>
        </is>
      </c>
      <c r="C4" s="12" t="inlineStr">
        <is>
          <t>Total Cases</t>
        </is>
      </c>
      <c r="D4" s="12" t="inlineStr">
        <is>
          <t>Unit</t>
        </is>
      </c>
      <c r="E4" s="12" t="inlineStr">
        <is>
          <t>Integration</t>
        </is>
      </c>
      <c r="F4" s="12" t="inlineStr">
        <is>
          <t>System</t>
        </is>
      </c>
      <c r="G4" s="12" t="inlineStr">
        <is>
          <t>UAT</t>
        </is>
      </c>
      <c r="H4" s="12" t="inlineStr">
        <is>
          <t>Passed</t>
        </is>
      </c>
      <c r="I4" s="12" t="inlineStr">
        <is>
          <t>Failed</t>
        </is>
      </c>
      <c r="J4" s="12" t="inlineStr">
        <is>
          <t>Open Defects</t>
        </is>
      </c>
    </row>
    <row r="5" ht="14.25" customHeight="1" s="24">
      <c r="A5" s="18" t="inlineStr">
        <is>
          <t>Watermark Engine</t>
        </is>
      </c>
      <c r="B5" s="18" t="inlineStr">
        <is>
          <t>WM</t>
        </is>
      </c>
      <c r="C5" s="19">
        <f>COUNTIF('Watermark Engine - TC'!$A$4:$A$500,"&lt;&gt;")</f>
        <v/>
      </c>
      <c r="D5" s="19">
        <f>COUNTIF('Watermark Engine - TC'!$B$4:$B$500,"Unit")</f>
        <v/>
      </c>
      <c r="E5" s="19">
        <f>COUNTIF('Watermark Engine - TC'!$B$4:$B$500,"Integration")</f>
        <v/>
      </c>
      <c r="F5" s="19">
        <f>COUNTIF('Watermark Engine - TC'!$B$4:$B$500,"System")</f>
        <v/>
      </c>
      <c r="G5" s="19">
        <f>COUNTIF('Watermark Engine - TC'!$B$4:$B$500,"UAT")</f>
        <v/>
      </c>
      <c r="H5" s="19">
        <f>COUNTIF('Watermark Engine - TC'!$K$4:$K$500,"Passed")</f>
        <v/>
      </c>
      <c r="I5" s="19">
        <f>COUNTIF('Watermark Engine - TC'!$K$4:$K$500,"Failed")</f>
        <v/>
      </c>
      <c r="J5" s="19">
        <f>COUNTIFS('Defect Summary'!$C$5:$C$204,"Watermark Engine",'Defect Summary'!$G$5:$G$204,"&lt;&gt;Closed",'Defect Summary'!$B$5:$B$204,"&lt;&gt;")</f>
        <v/>
      </c>
    </row>
    <row r="6" ht="14.25" customHeight="1" s="24">
      <c r="A6" s="18" t="inlineStr">
        <is>
          <t>Register Artwork</t>
        </is>
      </c>
      <c r="B6" s="18" t="inlineStr">
        <is>
          <t>RA</t>
        </is>
      </c>
      <c r="C6" s="19">
        <f>COUNTIF('Register Artwork - TC'!$A$4:$A$500,"&lt;&gt;")</f>
        <v/>
      </c>
      <c r="D6" s="19">
        <f>COUNTIF('Register Artwork - TC'!$B$4:$B$500,"Unit")</f>
        <v/>
      </c>
      <c r="E6" s="19">
        <f>COUNTIF('Register Artwork - TC'!$B$4:$B$500,"Integration")</f>
        <v/>
      </c>
      <c r="F6" s="19">
        <f>COUNTIF('Register Artwork - TC'!$B$4:$B$500,"System")</f>
        <v/>
      </c>
      <c r="G6" s="19">
        <f>COUNTIF('Register Artwork - TC'!$B$4:$B$500,"UAT")</f>
        <v/>
      </c>
      <c r="H6" s="19">
        <f>COUNTIF('Register Artwork - TC'!$K$4:$K$500,"Passed")</f>
        <v/>
      </c>
      <c r="I6" s="19">
        <f>COUNTIF('Register Artwork - TC'!$K$4:$K$500,"Failed")</f>
        <v/>
      </c>
      <c r="J6" s="19">
        <f>COUNTIFS('Defect Summary'!$C$5:$C$204,"Register Artwork",'Defect Summary'!$G$5:$G$204,"&lt;&gt;Closed",'Defect Summary'!$B$5:$B$204,"&lt;&gt;")</f>
        <v/>
      </c>
    </row>
    <row r="7" ht="14.25" customHeight="1" s="24">
      <c r="A7" s="18" t="inlineStr">
        <is>
          <t>Artwork Registry</t>
        </is>
      </c>
      <c r="B7" s="18" t="inlineStr">
        <is>
          <t>RG</t>
        </is>
      </c>
      <c r="C7" s="19">
        <f>COUNTIF('Artwork Registry - TC'!$A$4:$A$500,"&lt;&gt;")</f>
        <v/>
      </c>
      <c r="D7" s="19">
        <f>COUNTIF('Artwork Registry - TC'!$B$4:$B$500,"Unit")</f>
        <v/>
      </c>
      <c r="E7" s="19">
        <f>COUNTIF('Artwork Registry - TC'!$B$4:$B$500,"Integration")</f>
        <v/>
      </c>
      <c r="F7" s="19">
        <f>COUNTIF('Artwork Registry - TC'!$B$4:$B$500,"System")</f>
        <v/>
      </c>
      <c r="G7" s="19">
        <f>COUNTIF('Artwork Registry - TC'!$B$4:$B$500,"UAT")</f>
        <v/>
      </c>
      <c r="H7" s="19">
        <f>COUNTIF('Artwork Registry - TC'!$K$4:$K$500,"Passed")</f>
        <v/>
      </c>
      <c r="I7" s="19">
        <f>COUNTIF('Artwork Registry - TC'!$K$4:$K$500,"Failed")</f>
        <v/>
      </c>
      <c r="J7" s="19">
        <f>COUNTIFS('Defect Summary'!$C$5:$C$204,"Artwork Registry",'Defect Summary'!$G$5:$G$204,"&lt;&gt;Closed",'Defect Summary'!$B$5:$B$204,"&lt;&gt;")</f>
        <v/>
      </c>
    </row>
    <row r="8" ht="14.25" customHeight="1" s="24">
      <c r="A8" s="18" t="inlineStr">
        <is>
          <t>Artwork Detail</t>
        </is>
      </c>
      <c r="B8" s="18" t="inlineStr">
        <is>
          <t>AD</t>
        </is>
      </c>
      <c r="C8" s="19">
        <f>COUNTIF('Artwork Detail - TC'!$A$4:$A$500,"&lt;&gt;")</f>
        <v/>
      </c>
      <c r="D8" s="19">
        <f>COUNTIF('Artwork Detail - TC'!$B$4:$B$500,"Unit")</f>
        <v/>
      </c>
      <c r="E8" s="19">
        <f>COUNTIF('Artwork Detail - TC'!$B$4:$B$500,"Integration")</f>
        <v/>
      </c>
      <c r="F8" s="19">
        <f>COUNTIF('Artwork Detail - TC'!$B$4:$B$500,"System")</f>
        <v/>
      </c>
      <c r="G8" s="19">
        <f>COUNTIF('Artwork Detail - TC'!$B$4:$B$500,"UAT")</f>
        <v/>
      </c>
      <c r="H8" s="19">
        <f>COUNTIF('Artwork Detail - TC'!$K$4:$K$500,"Passed")</f>
        <v/>
      </c>
      <c r="I8" s="19">
        <f>COUNTIF('Artwork Detail - TC'!$K$4:$K$500,"Failed")</f>
        <v/>
      </c>
      <c r="J8" s="19">
        <f>COUNTIFS('Defect Summary'!$C$5:$C$204,"Artwork Detail",'Defect Summary'!$G$5:$G$204,"&lt;&gt;Closed",'Defect Summary'!$B$5:$B$204,"&lt;&gt;")</f>
        <v/>
      </c>
    </row>
    <row r="9" ht="14.25" customHeight="1" s="24">
      <c r="A9" s="18" t="inlineStr">
        <is>
          <t>Verify Image</t>
        </is>
      </c>
      <c r="B9" s="18" t="inlineStr">
        <is>
          <t>VI</t>
        </is>
      </c>
      <c r="C9" s="19">
        <f>COUNTIF('Verify Image - TC'!$A$4:$A$500,"&lt;&gt;")</f>
        <v/>
      </c>
      <c r="D9" s="19">
        <f>COUNTIF('Verify Image - TC'!$B$4:$B$500,"Unit")</f>
        <v/>
      </c>
      <c r="E9" s="19">
        <f>COUNTIF('Verify Image - TC'!$B$4:$B$500,"Integration")</f>
        <v/>
      </c>
      <c r="F9" s="19">
        <f>COUNTIF('Verify Image - TC'!$B$4:$B$500,"System")</f>
        <v/>
      </c>
      <c r="G9" s="19">
        <f>COUNTIF('Verify Image - TC'!$B$4:$B$500,"UAT")</f>
        <v/>
      </c>
      <c r="H9" s="19">
        <f>COUNTIF('Verify Image - TC'!$K$4:$K$500,"Passed")</f>
        <v/>
      </c>
      <c r="I9" s="19">
        <f>COUNTIF('Verify Image - TC'!$K$4:$K$500,"Failed")</f>
        <v/>
      </c>
      <c r="J9" s="19">
        <f>COUNTIFS('Defect Summary'!$C$5:$C$204,"Verify Image",'Defect Summary'!$G$5:$G$204,"&lt;&gt;Closed",'Defect Summary'!$B$5:$B$204,"&lt;&gt;")</f>
        <v/>
      </c>
    </row>
    <row r="10" ht="14.25" customHeight="1" s="24">
      <c r="A10" s="18" t="inlineStr">
        <is>
          <t>Verification History</t>
        </is>
      </c>
      <c r="B10" s="18" t="inlineStr">
        <is>
          <t>VH</t>
        </is>
      </c>
      <c r="C10" s="19">
        <f>COUNTIF('Verification History - TC'!$A$4:$A$500,"&lt;&gt;")</f>
        <v/>
      </c>
      <c r="D10" s="19">
        <f>COUNTIF('Verification History - TC'!$B$4:$B$500,"Unit")</f>
        <v/>
      </c>
      <c r="E10" s="19">
        <f>COUNTIF('Verification History - TC'!$B$4:$B$500,"Integration")</f>
        <v/>
      </c>
      <c r="F10" s="19">
        <f>COUNTIF('Verification History - TC'!$B$4:$B$500,"System")</f>
        <v/>
      </c>
      <c r="G10" s="19">
        <f>COUNTIF('Verification History - TC'!$B$4:$B$500,"UAT")</f>
        <v/>
      </c>
      <c r="H10" s="19">
        <f>COUNTIF('Verification History - TC'!$K$4:$K$500,"Passed")</f>
        <v/>
      </c>
      <c r="I10" s="19">
        <f>COUNTIF('Verification History - TC'!$K$4:$K$500,"Failed")</f>
        <v/>
      </c>
      <c r="J10" s="19">
        <f>COUNTIFS('Defect Summary'!$C$5:$C$204,"Verification History",'Defect Summary'!$G$5:$G$204,"&lt;&gt;Closed",'Defect Summary'!$B$5:$B$204,"&lt;&gt;")</f>
        <v/>
      </c>
    </row>
    <row r="11" ht="14.25" customHeight="1" s="24">
      <c r="A11" s="18" t="inlineStr">
        <is>
          <t>Technical Report</t>
        </is>
      </c>
      <c r="B11" s="18" t="inlineStr">
        <is>
          <t>TR</t>
        </is>
      </c>
      <c r="C11" s="19">
        <f>COUNTIF('Technical Report - TC'!$A$4:$A$500,"&lt;&gt;")</f>
        <v/>
      </c>
      <c r="D11" s="19">
        <f>COUNTIF('Technical Report - TC'!$B$4:$B$500,"Unit")</f>
        <v/>
      </c>
      <c r="E11" s="19">
        <f>COUNTIF('Technical Report - TC'!$B$4:$B$500,"Integration")</f>
        <v/>
      </c>
      <c r="F11" s="19">
        <f>COUNTIF('Technical Report - TC'!$B$4:$B$500,"System")</f>
        <v/>
      </c>
      <c r="G11" s="19">
        <f>COUNTIF('Technical Report - TC'!$B$4:$B$500,"UAT")</f>
        <v/>
      </c>
      <c r="H11" s="19">
        <f>COUNTIF('Technical Report - TC'!$K$4:$K$500,"Passed")</f>
        <v/>
      </c>
      <c r="I11" s="19">
        <f>COUNTIF('Technical Report - TC'!$K$4:$K$500,"Failed")</f>
        <v/>
      </c>
      <c r="J11" s="19">
        <f>COUNTIFS('Defect Summary'!$C$5:$C$204,"Technical Report",'Defect Summary'!$G$5:$G$204,"&lt;&gt;Closed",'Defect Summary'!$B$5:$B$204,"&lt;&gt;")</f>
        <v/>
      </c>
    </row>
    <row r="12" ht="14.25" customHeight="1" s="24">
      <c r="A12" s="18" t="inlineStr">
        <is>
          <t>Dashboard</t>
        </is>
      </c>
      <c r="B12" s="18" t="inlineStr">
        <is>
          <t>DM</t>
        </is>
      </c>
      <c r="C12" s="19">
        <f>COUNTIF('Dashboard - TC'!$A$4:$A$500,"&lt;&gt;")</f>
        <v/>
      </c>
      <c r="D12" s="19">
        <f>COUNTIF('Dashboard - TC'!$B$4:$B$500,"Unit")</f>
        <v/>
      </c>
      <c r="E12" s="19">
        <f>COUNTIF('Dashboard - TC'!$B$4:$B$500,"Integration")</f>
        <v/>
      </c>
      <c r="F12" s="19">
        <f>COUNTIF('Dashboard - TC'!$B$4:$B$500,"System")</f>
        <v/>
      </c>
      <c r="G12" s="19">
        <f>COUNTIF('Dashboard - TC'!$B$4:$B$500,"UAT")</f>
        <v/>
      </c>
      <c r="H12" s="19">
        <f>COUNTIF('Dashboard - TC'!$K$4:$K$500,"Passed")</f>
        <v/>
      </c>
      <c r="I12" s="19">
        <f>COUNTIF('Dashboard - TC'!$K$4:$K$500,"Failed")</f>
        <v/>
      </c>
      <c r="J12" s="19">
        <f>COUNTIFS('Defect Summary'!$C$5:$C$204,"Dashboard",'Defect Summary'!$G$5:$G$204,"&lt;&gt;Closed",'Defect Summary'!$B$5:$B$204,"&lt;&gt;")</f>
        <v/>
      </c>
    </row>
    <row r="13" ht="14.25" customHeight="1" s="24">
      <c r="A13" s="18" t="inlineStr">
        <is>
          <t>Storage Retrieval</t>
        </is>
      </c>
      <c r="B13" s="18" t="inlineStr">
        <is>
          <t>ST</t>
        </is>
      </c>
      <c r="C13" s="19">
        <f>COUNTIF('Storage Retrieval - TC'!$A$4:$A$500,"&lt;&gt;")</f>
        <v/>
      </c>
      <c r="D13" s="19">
        <f>COUNTIF('Storage Retrieval - TC'!$B$4:$B$500,"Unit")</f>
        <v/>
      </c>
      <c r="E13" s="19">
        <f>COUNTIF('Storage Retrieval - TC'!$B$4:$B$500,"Integration")</f>
        <v/>
      </c>
      <c r="F13" s="19">
        <f>COUNTIF('Storage Retrieval - TC'!$B$4:$B$500,"System")</f>
        <v/>
      </c>
      <c r="G13" s="19">
        <f>COUNTIF('Storage Retrieval - TC'!$B$4:$B$500,"UAT")</f>
        <v/>
      </c>
      <c r="H13" s="19">
        <f>COUNTIF('Storage Retrieval - TC'!$K$4:$K$500,"Passed")</f>
        <v/>
      </c>
      <c r="I13" s="19">
        <f>COUNTIF('Storage Retrieval - TC'!$K$4:$K$500,"Failed")</f>
        <v/>
      </c>
      <c r="J13" s="19">
        <f>COUNTIFS('Defect Summary'!$C$5:$C$204,"Storage Retrieval",'Defect Summary'!$G$5:$G$204,"&lt;&gt;Closed",'Defect Summary'!$B$5:$B$204,"&lt;&gt;")</f>
        <v/>
      </c>
    </row>
    <row r="14" ht="14.25" customHeight="1" s="24">
      <c r="A14" s="18" t="inlineStr">
        <is>
          <t>Interface / Responsive</t>
        </is>
      </c>
      <c r="B14" s="18" t="inlineStr">
        <is>
          <t>UX</t>
        </is>
      </c>
      <c r="C14" s="19">
        <f>COUNTIF('Interface Responsive - TC'!$A$4:$A$500,"&lt;&gt;")</f>
        <v/>
      </c>
      <c r="D14" s="19">
        <f>COUNTIF('Interface Responsive - TC'!$B$4:$B$500,"Unit")</f>
        <v/>
      </c>
      <c r="E14" s="19">
        <f>COUNTIF('Interface Responsive - TC'!$B$4:$B$500,"Integration")</f>
        <v/>
      </c>
      <c r="F14" s="19">
        <f>COUNTIF('Interface Responsive - TC'!$B$4:$B$500,"System")</f>
        <v/>
      </c>
      <c r="G14" s="19">
        <f>COUNTIF('Interface Responsive - TC'!$B$4:$B$500,"UAT")</f>
        <v/>
      </c>
      <c r="H14" s="19">
        <f>COUNTIF('Interface Responsive - TC'!$K$4:$K$500,"Passed")</f>
        <v/>
      </c>
      <c r="I14" s="19">
        <f>COUNTIF('Interface Responsive - TC'!$K$4:$K$500,"Failed")</f>
        <v/>
      </c>
      <c r="J14" s="19">
        <f>COUNTIFS('Defect Summary'!$C$5:$C$204,"Interface / Responsive",'Defect Summary'!$G$5:$G$204,"&lt;&gt;Closed",'Defect Summary'!$B$5:$B$204,"&lt;&gt;")</f>
        <v/>
      </c>
    </row>
    <row r="15" ht="14.25" customHeight="1" s="24">
      <c r="A15" s="18" t="inlineStr">
        <is>
          <t>Core Workflows</t>
        </is>
      </c>
      <c r="B15" s="18" t="inlineStr">
        <is>
          <t>CW</t>
        </is>
      </c>
      <c r="C15" s="19">
        <f>COUNTIF('Core Workflows - TC'!$A$4:$A$500,"&lt;&gt;")</f>
        <v/>
      </c>
      <c r="D15" s="19">
        <f>COUNTIF('Core Workflows - TC'!$B$4:$B$500,"Unit")</f>
        <v/>
      </c>
      <c r="E15" s="19">
        <f>COUNTIF('Core Workflows - TC'!$B$4:$B$500,"Integration")</f>
        <v/>
      </c>
      <c r="F15" s="19">
        <f>COUNTIF('Core Workflows - TC'!$B$4:$B$500,"System")</f>
        <v/>
      </c>
      <c r="G15" s="19">
        <f>COUNTIF('Core Workflows - TC'!$B$4:$B$500,"UAT")</f>
        <v/>
      </c>
      <c r="H15" s="19">
        <f>COUNTIF('Core Workflows - TC'!$K$4:$K$500,"Passed")</f>
        <v/>
      </c>
      <c r="I15" s="19">
        <f>COUNTIF('Core Workflows - TC'!$K$4:$K$500,"Failed")</f>
        <v/>
      </c>
      <c r="J15" s="19">
        <f>COUNTIFS('Defect Summary'!$C$5:$C$204,"Core Workflows",'Defect Summary'!$G$5:$G$204,"&lt;&gt;Closed",'Defect Summary'!$B$5:$B$204,"&lt;&gt;")</f>
        <v/>
      </c>
    </row>
    <row r="16" ht="15" customHeight="1" s="24">
      <c r="A16" s="15" t="inlineStr">
        <is>
          <t>TOTAL</t>
        </is>
      </c>
      <c r="C16" s="21">
        <f>SUM(C5:C15)</f>
        <v/>
      </c>
      <c r="D16" s="21">
        <f>SUM(D5:D15)</f>
        <v/>
      </c>
      <c r="E16" s="21">
        <f>SUM(E5:E15)</f>
        <v/>
      </c>
      <c r="F16" s="21">
        <f>SUM(F5:F15)</f>
        <v/>
      </c>
      <c r="G16" s="21">
        <f>SUM(G5:G15)</f>
        <v/>
      </c>
      <c r="H16" s="21">
        <f>SUM(H5:H15)</f>
        <v/>
      </c>
      <c r="I16" s="21">
        <f>SUM(I5:I15)</f>
        <v/>
      </c>
      <c r="J16" s="21">
        <f>COUNTIFS('Defect Summary'!$G$5:$G$204,"&lt;&gt;Closed",'Defect Summary'!$B$5:$B$204,"&lt;&gt;")</f>
        <v/>
      </c>
    </row>
    <row r="17" ht="14.25" customHeight="1" s="24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14.25" customHeight="1" s="24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15" customHeight="1" s="24">
      <c r="A19" s="32" t="inlineStr">
        <is>
          <t>Summary Interpretation</t>
        </is>
      </c>
    </row>
    <row r="20" ht="14.25" customHeight="1" s="24">
      <c r="A20" s="23" t="inlineStr">
        <is>
          <t>Coverage</t>
        </is>
      </c>
      <c r="B20" s="23" t="inlineStr">
        <is>
          <t>Unit, Integration, System, and UAT counts are calculated from each module sheet.</t>
        </is>
      </c>
    </row>
    <row r="21" ht="14.25" customHeight="1" s="24">
      <c r="A21" s="23" t="inlineStr">
        <is>
          <t>Execution</t>
        </is>
      </c>
      <c r="B21" s="23" t="inlineStr">
        <is>
          <t>Passed and Failed counts update from the Status column in each module sheet.</t>
        </is>
      </c>
    </row>
    <row r="22" ht="14.25" customHeight="1" s="24">
      <c r="A22" s="23" t="inlineStr">
        <is>
          <t>Defects</t>
        </is>
      </c>
      <c r="B22" s="23" t="inlineStr">
        <is>
          <t>Open Defects counts logged defects for the matching module whose status is not Closed.</t>
        </is>
      </c>
    </row>
    <row r="23" ht="14.25" customHeight="1" s="24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14.25" customHeight="1" s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14.25" customHeight="1" s="24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14.25" customHeight="1" s="24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14.25" customHeight="1" s="24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14.25" customHeight="1" s="24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14.25" customHeight="1" s="24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14.25" customHeight="1" s="24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14.25" customHeight="1" s="24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14.25" customHeight="1" s="24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14.25" customHeight="1" s="24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14.25" customHeight="1" s="2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14.25" customHeight="1" s="24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14.25" customHeight="1" s="24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14.25" customHeight="1" s="24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14.25" customHeight="1" s="24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14.25" customHeight="1" s="24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 ht="14.25" customHeight="1" s="24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14.25" customHeight="1" s="24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 ht="14.25" customHeight="1" s="24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 ht="14.25" customHeight="1" s="24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 ht="14.25" customHeight="1" s="2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 ht="14.25" customHeight="1" s="24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 ht="14.25" customHeight="1" s="24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 ht="14.25" customHeight="1" s="24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14.25" customHeight="1" s="24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 ht="14.25" customHeight="1" s="24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 ht="14.25" customHeight="1" s="24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 ht="14.25" customHeight="1" s="24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 ht="14.25" customHeight="1" s="24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 ht="14.25" customHeight="1" s="24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 ht="14.25" customHeight="1" s="2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 ht="14.25" customHeight="1" s="24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 ht="14.25" customHeight="1" s="24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 ht="14.25" customHeight="1" s="24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 ht="14.25" customHeight="1" s="24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 ht="14.25" customHeight="1" s="24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 ht="14.25" customHeight="1" s="24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 ht="14.25" customHeight="1" s="24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 ht="14.25" customHeight="1" s="24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 ht="14.25" customHeight="1" s="24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 ht="14.25" customHeight="1" s="2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 ht="14.25" customHeight="1" s="24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 ht="14.25" customHeight="1" s="24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 ht="14.25" customHeight="1" s="24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 ht="14.25" customHeight="1" s="24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 ht="14.25" customHeight="1" s="24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 ht="14.25" customHeight="1" s="24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 ht="14.25" customHeight="1" s="24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 ht="14.25" customHeight="1" s="24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 ht="14.25" customHeight="1" s="24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 ht="14.25" customHeight="1" s="2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 ht="14.25" customHeight="1" s="24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 ht="14.25" customHeight="1" s="24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 ht="14.25" customHeight="1" s="24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 ht="14.25" customHeight="1" s="24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 ht="14.25" customHeight="1" s="24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 ht="14.25" customHeight="1" s="24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 ht="14.25" customHeight="1" s="24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 ht="14.25" customHeight="1" s="24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 ht="14.25" customHeight="1" s="24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 ht="14.25" customHeight="1" s="2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 ht="14.25" customHeight="1" s="24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 ht="14.25" customHeight="1" s="24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 ht="14.25" customHeight="1" s="24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 ht="14.25" customHeight="1" s="24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 ht="14.25" customHeight="1" s="24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 ht="14.25" customHeight="1" s="24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 ht="14.25" customHeight="1" s="24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 ht="14.25" customHeight="1" s="24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 ht="14.25" customHeight="1" s="24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 ht="14.25" customHeight="1" s="2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 ht="14.25" customHeight="1" s="24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 ht="14.25" customHeight="1" s="24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 ht="14.25" customHeight="1" s="24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 ht="14.25" customHeight="1" s="24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 ht="14.25" customHeight="1" s="24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 ht="14.25" customHeight="1" s="24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 ht="14.25" customHeight="1" s="24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 ht="14.25" customHeight="1" s="24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 ht="14.25" customHeight="1" s="24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 ht="14.25" customHeight="1" s="2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 ht="14.25" customHeight="1" s="24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 ht="14.25" customHeight="1" s="24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 ht="14.25" customHeight="1" s="24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 ht="14.25" customHeight="1" s="24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 ht="14.25" customHeight="1" s="24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 ht="14.25" customHeight="1" s="24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 ht="14.25" customHeight="1" s="24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 ht="14.25" customHeight="1" s="24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 ht="14.25" customHeight="1" s="24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 ht="14.25" customHeight="1" s="2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 ht="14.25" customHeight="1" s="24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 ht="14.25" customHeight="1" s="24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 ht="14.25" customHeight="1" s="24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 ht="14.25" customHeight="1" s="24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 ht="14.25" customHeight="1" s="24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 ht="14.25" customHeight="1" s="24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 ht="14.25" customHeight="1" s="24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 ht="14.25" customHeight="1" s="24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 ht="14.25" customHeight="1" s="24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 ht="14.25" customHeight="1" s="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 ht="14.25" customHeight="1" s="24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 ht="14.25" customHeight="1" s="24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 ht="14.25" customHeight="1" s="24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 ht="14.25" customHeight="1" s="24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 ht="14.25" customHeight="1" s="24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 ht="14.25" customHeight="1" s="24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 ht="14.25" customHeight="1" s="24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 ht="14.25" customHeight="1" s="24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 ht="14.25" customHeight="1" s="24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 ht="14.25" customHeight="1" s="2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 ht="14.25" customHeight="1" s="24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 ht="14.25" customHeight="1" s="24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 ht="14.25" customHeight="1" s="24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 ht="14.25" customHeight="1" s="24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 ht="14.25" customHeight="1" s="24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 ht="14.25" customHeight="1" s="24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 ht="14.25" customHeight="1" s="24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 ht="14.25" customHeight="1" s="24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 ht="14.25" customHeight="1" s="24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 ht="14.25" customHeight="1" s="2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 ht="14.25" customHeight="1" s="24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 ht="14.25" customHeight="1" s="24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 ht="14.25" customHeight="1" s="24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 ht="14.25" customHeight="1" s="24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 ht="14.25" customHeight="1" s="24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 ht="14.25" customHeight="1" s="24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 ht="14.25" customHeight="1" s="24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 ht="14.25" customHeight="1" s="24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 ht="14.25" customHeight="1" s="24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 ht="14.25" customHeight="1" s="2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 ht="14.25" customHeight="1" s="24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 ht="14.25" customHeight="1" s="24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 ht="14.25" customHeight="1" s="24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 ht="14.25" customHeight="1" s="24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 ht="14.25" customHeight="1" s="24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 ht="14.25" customHeight="1" s="24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 ht="14.25" customHeight="1" s="24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 ht="14.25" customHeight="1" s="24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 ht="14.25" customHeight="1" s="24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 ht="14.25" customHeight="1" s="2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 ht="14.25" customHeight="1" s="24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 ht="14.25" customHeight="1" s="24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 ht="14.25" customHeight="1" s="24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 ht="14.25" customHeight="1" s="24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 ht="14.25" customHeight="1" s="24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 ht="14.25" customHeight="1" s="24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 ht="14.25" customHeight="1" s="24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 ht="14.25" customHeight="1" s="24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 ht="14.25" customHeight="1" s="24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 ht="14.25" customHeight="1" s="2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 ht="14.25" customHeight="1" s="24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 ht="14.25" customHeight="1" s="24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 ht="14.25" customHeight="1" s="24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 ht="14.25" customHeight="1" s="24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 ht="14.25" customHeight="1" s="24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 ht="14.25" customHeight="1" s="24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 ht="14.25" customHeight="1" s="24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 ht="14.25" customHeight="1" s="24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 ht="14.25" customHeight="1" s="24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 ht="14.25" customHeight="1" s="2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 ht="14.25" customHeight="1" s="24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 ht="14.25" customHeight="1" s="24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 ht="14.25" customHeight="1" s="24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 ht="14.25" customHeight="1" s="24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 ht="14.25" customHeight="1" s="24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 ht="14.25" customHeight="1" s="24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 ht="14.25" customHeight="1" s="24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 ht="14.25" customHeight="1" s="24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 ht="14.25" customHeight="1" s="24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 ht="14.25" customHeight="1" s="2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 ht="14.25" customHeight="1" s="24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 ht="14.25" customHeight="1" s="24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 ht="14.25" customHeight="1" s="24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 ht="14.25" customHeight="1" s="24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 ht="14.25" customHeight="1" s="24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 ht="14.25" customHeight="1" s="24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 ht="14.25" customHeight="1" s="24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 ht="14.25" customHeight="1" s="24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 ht="14.25" customHeight="1" s="24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 ht="14.25" customHeight="1" s="2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 ht="14.25" customHeight="1" s="24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 ht="14.25" customHeight="1" s="24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 ht="14.25" customHeight="1" s="24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 ht="14.25" customHeight="1" s="24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 ht="14.25" customHeight="1" s="24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 ht="14.25" customHeight="1" s="24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 ht="14.25" customHeight="1" s="24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 ht="14.25" customHeight="1" s="24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 ht="14.25" customHeight="1" s="24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 ht="14.25" customHeight="1" s="2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 ht="14.25" customHeight="1" s="24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 ht="14.25" customHeight="1" s="24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 ht="14.25" customHeight="1" s="24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 ht="14.25" customHeight="1" s="24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 ht="14.25" customHeight="1" s="24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 ht="14.25" customHeight="1" s="24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 ht="14.25" customHeight="1" s="24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 ht="14.25" customHeight="1" s="24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 ht="14.25" customHeight="1" s="24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 ht="14.25" customHeight="1" s="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 ht="14.25" customHeight="1" s="24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 ht="14.25" customHeight="1" s="24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 ht="14.25" customHeight="1" s="24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 ht="14.25" customHeight="1" s="24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 ht="14.25" customHeight="1" s="24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 ht="14.25" customHeight="1" s="24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 ht="14.25" customHeight="1" s="24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 ht="14.25" customHeight="1" s="24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 ht="14.25" customHeight="1" s="24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 ht="14.25" customHeight="1" s="2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 ht="14.25" customHeight="1" s="24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 ht="14.25" customHeight="1" s="24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 ht="14.25" customHeight="1" s="24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 ht="14.25" customHeight="1" s="24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 ht="14.25" customHeight="1" s="24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 ht="14.25" customHeight="1" s="24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 ht="14.25" customHeight="1" s="24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 ht="14.25" customHeight="1" s="24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 ht="14.25" customHeight="1" s="24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 ht="14.25" customHeight="1" s="2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 ht="14.25" customHeight="1" s="24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 ht="14.25" customHeight="1" s="24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 ht="14.25" customHeight="1" s="24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 ht="14.25" customHeight="1" s="24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 ht="14.25" customHeight="1" s="24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 ht="14.25" customHeight="1" s="24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 ht="14.25" customHeight="1" s="24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 ht="14.25" customHeight="1" s="24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 ht="14.25" customHeight="1" s="24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 ht="14.25" customHeight="1" s="2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 ht="14.25" customHeight="1" s="24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 ht="14.25" customHeight="1" s="24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 ht="14.25" customHeight="1" s="24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 ht="14.25" customHeight="1" s="24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 ht="14.25" customHeight="1" s="24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 ht="14.25" customHeight="1" s="24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 ht="14.25" customHeight="1" s="24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 ht="14.25" customHeight="1" s="24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 ht="14.25" customHeight="1" s="24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 ht="14.25" customHeight="1" s="2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 ht="14.25" customHeight="1" s="24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 ht="14.25" customHeight="1" s="24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 ht="14.25" customHeight="1" s="24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 ht="14.25" customHeight="1" s="24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 ht="14.25" customHeight="1" s="24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 ht="14.25" customHeight="1" s="24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 ht="14.25" customHeight="1" s="24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 ht="14.25" customHeight="1" s="24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 ht="14.25" customHeight="1" s="24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 ht="14.25" customHeight="1" s="2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 ht="14.25" customHeight="1" s="24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 ht="14.25" customHeight="1" s="24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 ht="14.25" customHeight="1" s="24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 ht="14.25" customHeight="1" s="24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 ht="14.25" customHeight="1" s="24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 ht="14.25" customHeight="1" s="24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 ht="14.25" customHeight="1" s="24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 ht="14.25" customHeight="1" s="24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 ht="14.25" customHeight="1" s="24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 ht="14.25" customHeight="1" s="2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 ht="14.25" customHeight="1" s="24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 ht="14.25" customHeight="1" s="24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 ht="14.25" customHeight="1" s="24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 ht="14.25" customHeight="1" s="24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 ht="14.25" customHeight="1" s="24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 ht="14.25" customHeight="1" s="24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 ht="14.25" customHeight="1" s="24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 ht="14.25" customHeight="1" s="24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 ht="14.25" customHeight="1" s="24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 ht="14.25" customHeight="1" s="2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 ht="14.25" customHeight="1" s="24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 ht="14.25" customHeight="1" s="24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 ht="14.25" customHeight="1" s="24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 ht="14.25" customHeight="1" s="24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 ht="14.25" customHeight="1" s="24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 ht="14.25" customHeight="1" s="24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 ht="14.25" customHeight="1" s="24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 ht="14.25" customHeight="1" s="24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 ht="14.25" customHeight="1" s="24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 ht="14.25" customHeight="1" s="2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 ht="14.25" customHeight="1" s="24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 ht="14.25" customHeight="1" s="24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 ht="14.25" customHeight="1" s="24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 ht="14.25" customHeight="1" s="24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 ht="14.25" customHeight="1" s="24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 ht="14.25" customHeight="1" s="24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 ht="14.25" customHeight="1" s="24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 ht="14.25" customHeight="1" s="24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 ht="14.25" customHeight="1" s="24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 ht="14.25" customHeight="1" s="2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 ht="14.25" customHeight="1" s="24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 ht="14.25" customHeight="1" s="24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 ht="14.25" customHeight="1" s="24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 ht="14.25" customHeight="1" s="24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 ht="14.25" customHeight="1" s="24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 ht="14.25" customHeight="1" s="24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 ht="14.25" customHeight="1" s="24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 ht="14.25" customHeight="1" s="24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 ht="14.25" customHeight="1" s="24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 ht="14.25" customHeight="1" s="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 ht="14.25" customHeight="1" s="24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 ht="14.25" customHeight="1" s="24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 ht="14.25" customHeight="1" s="24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 ht="14.25" customHeight="1" s="24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 ht="14.25" customHeight="1" s="24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 ht="14.25" customHeight="1" s="24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 ht="14.25" customHeight="1" s="24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 ht="14.25" customHeight="1" s="24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 ht="14.25" customHeight="1" s="24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 ht="14.25" customHeight="1" s="2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 ht="14.25" customHeight="1" s="24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 ht="14.25" customHeight="1" s="24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 ht="14.25" customHeight="1" s="24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 ht="14.25" customHeight="1" s="24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 ht="14.25" customHeight="1" s="24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 ht="14.25" customHeight="1" s="24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 ht="14.25" customHeight="1" s="24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 ht="14.25" customHeight="1" s="24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 ht="14.25" customHeight="1" s="24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 ht="14.25" customHeight="1" s="2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 ht="14.25" customHeight="1" s="24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 ht="14.25" customHeight="1" s="24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 ht="14.25" customHeight="1" s="24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 ht="14.25" customHeight="1" s="24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 ht="14.25" customHeight="1" s="24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 ht="14.25" customHeight="1" s="24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 ht="14.25" customHeight="1" s="24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 ht="14.25" customHeight="1" s="24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 ht="14.25" customHeight="1" s="24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 ht="14.25" customHeight="1" s="2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 ht="14.25" customHeight="1" s="24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 ht="14.25" customHeight="1" s="24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 ht="14.25" customHeight="1" s="24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 ht="14.25" customHeight="1" s="24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 ht="14.25" customHeight="1" s="24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 ht="14.25" customHeight="1" s="24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 ht="14.25" customHeight="1" s="24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 ht="14.25" customHeight="1" s="24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 ht="14.25" customHeight="1" s="24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 ht="14.25" customHeight="1" s="2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 ht="14.25" customHeight="1" s="24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 ht="14.25" customHeight="1" s="24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 ht="14.25" customHeight="1" s="24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 ht="14.25" customHeight="1" s="24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 ht="14.25" customHeight="1" s="24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 ht="14.25" customHeight="1" s="24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 ht="14.25" customHeight="1" s="24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 ht="14.25" customHeight="1" s="24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 ht="14.25" customHeight="1" s="24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 ht="14.25" customHeight="1" s="2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 ht="14.25" customHeight="1" s="24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 ht="14.25" customHeight="1" s="24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 ht="14.25" customHeight="1" s="24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 ht="14.25" customHeight="1" s="24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 ht="14.25" customHeight="1" s="24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 ht="14.25" customHeight="1" s="24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 ht="14.25" customHeight="1" s="24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 ht="14.25" customHeight="1" s="24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 ht="14.25" customHeight="1" s="24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 ht="14.25" customHeight="1" s="2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 ht="14.25" customHeight="1" s="24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 ht="14.25" customHeight="1" s="24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 ht="14.25" customHeight="1" s="24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 ht="14.25" customHeight="1" s="24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 ht="14.25" customHeight="1" s="24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 ht="14.25" customHeight="1" s="24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 ht="14.25" customHeight="1" s="24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 ht="14.25" customHeight="1" s="24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 ht="14.25" customHeight="1" s="24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 ht="14.25" customHeight="1" s="2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 ht="14.25" customHeight="1" s="24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 ht="14.25" customHeight="1" s="24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 ht="14.25" customHeight="1" s="24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 ht="14.25" customHeight="1" s="24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 ht="14.25" customHeight="1" s="24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 ht="14.25" customHeight="1" s="24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 ht="14.25" customHeight="1" s="24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 ht="14.25" customHeight="1" s="24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 ht="14.25" customHeight="1" s="24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 ht="14.25" customHeight="1" s="2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 ht="14.25" customHeight="1" s="24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 ht="14.25" customHeight="1" s="24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 ht="14.25" customHeight="1" s="24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 ht="14.25" customHeight="1" s="24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 ht="14.25" customHeight="1" s="24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 ht="14.25" customHeight="1" s="24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 ht="14.25" customHeight="1" s="24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 ht="14.25" customHeight="1" s="24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 ht="14.25" customHeight="1" s="24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 ht="14.25" customHeight="1" s="2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 ht="14.25" customHeight="1" s="24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 ht="14.25" customHeight="1" s="24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 ht="14.25" customHeight="1" s="24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 ht="14.25" customHeight="1" s="24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 ht="14.25" customHeight="1" s="24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 ht="14.25" customHeight="1" s="24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 ht="14.25" customHeight="1" s="24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 ht="14.25" customHeight="1" s="24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 ht="14.25" customHeight="1" s="24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 ht="14.25" customHeight="1" s="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 ht="14.25" customHeight="1" s="24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 ht="14.25" customHeight="1" s="24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 ht="14.25" customHeight="1" s="24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 ht="14.25" customHeight="1" s="24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 ht="14.25" customHeight="1" s="24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 ht="14.25" customHeight="1" s="24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 ht="14.25" customHeight="1" s="24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 ht="14.25" customHeight="1" s="24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 ht="14.25" customHeight="1" s="24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 ht="14.25" customHeight="1" s="2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 ht="14.25" customHeight="1" s="24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 ht="14.25" customHeight="1" s="24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 ht="14.25" customHeight="1" s="24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 ht="14.25" customHeight="1" s="24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 ht="14.25" customHeight="1" s="24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 ht="14.25" customHeight="1" s="24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 ht="14.25" customHeight="1" s="24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 ht="14.25" customHeight="1" s="24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 ht="14.25" customHeight="1" s="24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 ht="14.25" customHeight="1" s="2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 ht="14.25" customHeight="1" s="24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 ht="14.25" customHeight="1" s="24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 ht="14.25" customHeight="1" s="24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 ht="14.25" customHeight="1" s="24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 ht="14.25" customHeight="1" s="24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 ht="14.25" customHeight="1" s="24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 ht="14.25" customHeight="1" s="24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 ht="14.25" customHeight="1" s="24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 ht="14.25" customHeight="1" s="24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 ht="14.25" customHeight="1" s="2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 ht="14.25" customHeight="1" s="24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 ht="14.25" customHeight="1" s="24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 ht="14.25" customHeight="1" s="24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 ht="14.25" customHeight="1" s="24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 ht="14.25" customHeight="1" s="24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 ht="14.25" customHeight="1" s="24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 ht="14.25" customHeight="1" s="24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 ht="14.25" customHeight="1" s="24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 ht="14.25" customHeight="1" s="24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 ht="14.25" customHeight="1" s="2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 ht="14.25" customHeight="1" s="24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 ht="14.25" customHeight="1" s="24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 ht="14.25" customHeight="1" s="24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 ht="14.25" customHeight="1" s="24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 ht="14.25" customHeight="1" s="24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 ht="14.25" customHeight="1" s="24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 ht="14.25" customHeight="1" s="24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 ht="14.25" customHeight="1" s="24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 ht="14.25" customHeight="1" s="24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 ht="14.25" customHeight="1" s="2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 ht="14.25" customHeight="1" s="24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 ht="14.25" customHeight="1" s="24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 ht="14.25" customHeight="1" s="24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 ht="14.25" customHeight="1" s="24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 ht="14.25" customHeight="1" s="24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 ht="14.25" customHeight="1" s="24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 ht="14.25" customHeight="1" s="24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 ht="14.25" customHeight="1" s="24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 ht="14.25" customHeight="1" s="24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 ht="14.25" customHeight="1" s="2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 ht="14.25" customHeight="1" s="24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 ht="14.25" customHeight="1" s="24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 ht="14.25" customHeight="1" s="24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 ht="14.25" customHeight="1" s="24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 ht="14.25" customHeight="1" s="24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 ht="14.25" customHeight="1" s="24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 ht="14.25" customHeight="1" s="24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 ht="14.25" customHeight="1" s="24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 ht="14.25" customHeight="1" s="24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 ht="14.25" customHeight="1" s="2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 ht="14.25" customHeight="1" s="24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 ht="14.25" customHeight="1" s="24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 ht="14.25" customHeight="1" s="24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 ht="14.25" customHeight="1" s="24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 ht="14.25" customHeight="1" s="24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 ht="14.25" customHeight="1" s="24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 ht="14.25" customHeight="1" s="24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 ht="14.25" customHeight="1" s="24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 ht="14.25" customHeight="1" s="24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 ht="14.25" customHeight="1" s="2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 ht="14.25" customHeight="1" s="24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 ht="14.25" customHeight="1" s="24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 ht="14.25" customHeight="1" s="24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 ht="14.25" customHeight="1" s="24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 ht="14.25" customHeight="1" s="24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 ht="14.25" customHeight="1" s="24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 ht="14.25" customHeight="1" s="24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 ht="14.25" customHeight="1" s="24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 ht="14.25" customHeight="1" s="24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 ht="14.25" customHeight="1" s="2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 ht="14.25" customHeight="1" s="24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 ht="14.25" customHeight="1" s="24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 ht="14.25" customHeight="1" s="24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 ht="14.25" customHeight="1" s="24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 ht="14.25" customHeight="1" s="24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 ht="14.25" customHeight="1" s="24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 ht="14.25" customHeight="1" s="24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 ht="14.25" customHeight="1" s="24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 ht="14.25" customHeight="1" s="24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 ht="14.25" customHeight="1" s="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 ht="14.25" customHeight="1" s="24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 ht="14.25" customHeight="1" s="24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 ht="14.25" customHeight="1" s="24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 ht="14.25" customHeight="1" s="24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 ht="14.25" customHeight="1" s="24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 ht="14.25" customHeight="1" s="24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 ht="14.25" customHeight="1" s="24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 ht="14.25" customHeight="1" s="24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 ht="14.25" customHeight="1" s="24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 ht="14.25" customHeight="1" s="2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 ht="14.25" customHeight="1" s="24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 ht="14.25" customHeight="1" s="24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 ht="14.25" customHeight="1" s="24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 ht="14.25" customHeight="1" s="24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 ht="14.25" customHeight="1" s="24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 ht="14.25" customHeight="1" s="24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 ht="14.25" customHeight="1" s="24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 ht="14.25" customHeight="1" s="24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 ht="14.25" customHeight="1" s="24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 ht="14.25" customHeight="1" s="2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 ht="14.25" customHeight="1" s="24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 ht="14.25" customHeight="1" s="24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 ht="14.25" customHeight="1" s="24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 ht="14.25" customHeight="1" s="24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 ht="14.25" customHeight="1" s="24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 ht="14.25" customHeight="1" s="24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 ht="14.25" customHeight="1" s="24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 ht="14.25" customHeight="1" s="24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 ht="14.25" customHeight="1" s="24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 ht="14.25" customHeight="1" s="2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 ht="14.25" customHeight="1" s="24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 ht="14.25" customHeight="1" s="24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 ht="14.25" customHeight="1" s="24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 ht="14.25" customHeight="1" s="24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 ht="14.25" customHeight="1" s="24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 ht="14.25" customHeight="1" s="24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 ht="14.25" customHeight="1" s="24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 ht="14.25" customHeight="1" s="24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 ht="14.25" customHeight="1" s="24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 ht="14.25" customHeight="1" s="2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 ht="14.25" customHeight="1" s="24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 ht="14.25" customHeight="1" s="24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 ht="14.25" customHeight="1" s="24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 ht="14.25" customHeight="1" s="24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 ht="14.25" customHeight="1" s="24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 ht="14.25" customHeight="1" s="24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 ht="14.25" customHeight="1" s="24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 ht="14.25" customHeight="1" s="24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 ht="14.25" customHeight="1" s="24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 ht="14.25" customHeight="1" s="2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 ht="14.25" customHeight="1" s="24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 ht="14.25" customHeight="1" s="24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 ht="14.25" customHeight="1" s="24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 ht="14.25" customHeight="1" s="24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 ht="14.25" customHeight="1" s="24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 ht="14.25" customHeight="1" s="24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 ht="14.25" customHeight="1" s="24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 ht="14.25" customHeight="1" s="24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 ht="14.25" customHeight="1" s="24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 ht="14.25" customHeight="1" s="2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 ht="14.25" customHeight="1" s="24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 ht="14.25" customHeight="1" s="24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 ht="14.25" customHeight="1" s="24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 ht="14.25" customHeight="1" s="24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 ht="14.25" customHeight="1" s="24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 ht="14.25" customHeight="1" s="24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 ht="14.25" customHeight="1" s="24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 ht="14.25" customHeight="1" s="24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 ht="14.25" customHeight="1" s="24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 ht="14.25" customHeight="1" s="2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 ht="14.25" customHeight="1" s="24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 ht="14.25" customHeight="1" s="24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 ht="14.25" customHeight="1" s="24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 ht="14.25" customHeight="1" s="24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 ht="14.25" customHeight="1" s="24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 ht="14.25" customHeight="1" s="24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 ht="14.25" customHeight="1" s="24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 ht="14.25" customHeight="1" s="24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 ht="14.25" customHeight="1" s="24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 ht="14.25" customHeight="1" s="2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 ht="14.25" customHeight="1" s="24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 ht="14.25" customHeight="1" s="24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 ht="14.25" customHeight="1" s="24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 ht="14.25" customHeight="1" s="24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 ht="14.25" customHeight="1" s="24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 ht="14.25" customHeight="1" s="24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 ht="14.25" customHeight="1" s="24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 ht="14.25" customHeight="1" s="24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 ht="14.25" customHeight="1" s="24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 ht="14.25" customHeight="1" s="2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 ht="14.25" customHeight="1" s="24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 ht="14.25" customHeight="1" s="24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 ht="14.25" customHeight="1" s="24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 ht="14.25" customHeight="1" s="24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 ht="14.25" customHeight="1" s="24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 ht="14.25" customHeight="1" s="24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 ht="14.25" customHeight="1" s="24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 ht="14.25" customHeight="1" s="24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 ht="14.25" customHeight="1" s="24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 ht="14.25" customHeight="1" s="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 ht="14.25" customHeight="1" s="24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 ht="14.25" customHeight="1" s="24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 ht="14.25" customHeight="1" s="24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 ht="14.25" customHeight="1" s="24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 ht="14.25" customHeight="1" s="24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 ht="14.25" customHeight="1" s="24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 ht="14.25" customHeight="1" s="24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 ht="14.25" customHeight="1" s="24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 ht="14.25" customHeight="1" s="24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 ht="14.25" customHeight="1" s="2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 ht="14.25" customHeight="1" s="24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 ht="14.25" customHeight="1" s="24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 ht="14.25" customHeight="1" s="24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 ht="14.25" customHeight="1" s="24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 ht="14.25" customHeight="1" s="24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 ht="14.25" customHeight="1" s="24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 ht="14.25" customHeight="1" s="24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 ht="14.25" customHeight="1" s="24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 ht="14.25" customHeight="1" s="24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 ht="14.25" customHeight="1" s="2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 ht="14.25" customHeight="1" s="24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 ht="14.25" customHeight="1" s="24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 ht="14.25" customHeight="1" s="24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 ht="14.25" customHeight="1" s="24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 ht="14.25" customHeight="1" s="24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 ht="14.25" customHeight="1" s="24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 ht="14.25" customHeight="1" s="24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 ht="14.25" customHeight="1" s="24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 ht="14.25" customHeight="1" s="24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 ht="14.25" customHeight="1" s="2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 ht="14.25" customHeight="1" s="24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 ht="14.25" customHeight="1" s="24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 ht="14.25" customHeight="1" s="24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 ht="14.25" customHeight="1" s="24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 ht="14.25" customHeight="1" s="24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 ht="14.25" customHeight="1" s="24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 ht="14.25" customHeight="1" s="24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 ht="14.25" customHeight="1" s="24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 ht="14.25" customHeight="1" s="24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 ht="14.25" customHeight="1" s="2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 ht="14.25" customHeight="1" s="24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 ht="14.25" customHeight="1" s="24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 ht="14.25" customHeight="1" s="24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 ht="14.25" customHeight="1" s="24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 ht="14.25" customHeight="1" s="24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 ht="14.25" customHeight="1" s="24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 ht="14.25" customHeight="1" s="24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 ht="14.25" customHeight="1" s="24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 ht="14.25" customHeight="1" s="24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 ht="14.25" customHeight="1" s="2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 ht="14.25" customHeight="1" s="24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 ht="14.25" customHeight="1" s="24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 ht="14.25" customHeight="1" s="24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 ht="14.25" customHeight="1" s="24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 ht="14.25" customHeight="1" s="24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 ht="14.25" customHeight="1" s="24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 ht="14.25" customHeight="1" s="24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 ht="14.25" customHeight="1" s="24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 ht="14.25" customHeight="1" s="24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 ht="14.25" customHeight="1" s="2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 ht="14.25" customHeight="1" s="24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 ht="14.25" customHeight="1" s="24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 ht="14.25" customHeight="1" s="24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 ht="14.25" customHeight="1" s="24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 ht="14.25" customHeight="1" s="24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 ht="14.25" customHeight="1" s="24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 ht="14.25" customHeight="1" s="24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 ht="14.25" customHeight="1" s="24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 ht="14.25" customHeight="1" s="24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 ht="14.25" customHeight="1" s="2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 ht="14.25" customHeight="1" s="24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 ht="14.25" customHeight="1" s="24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 ht="14.25" customHeight="1" s="24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 ht="14.25" customHeight="1" s="24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 ht="14.25" customHeight="1" s="24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 ht="14.25" customHeight="1" s="24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 ht="14.25" customHeight="1" s="24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 ht="14.25" customHeight="1" s="24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 ht="14.25" customHeight="1" s="24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 ht="14.25" customHeight="1" s="2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 ht="14.25" customHeight="1" s="24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 ht="14.25" customHeight="1" s="24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 ht="14.25" customHeight="1" s="24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 ht="14.25" customHeight="1" s="24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 ht="14.25" customHeight="1" s="24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 ht="14.25" customHeight="1" s="24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 ht="14.25" customHeight="1" s="24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 ht="14.25" customHeight="1" s="24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 ht="14.25" customHeight="1" s="24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 ht="14.25" customHeight="1" s="2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 ht="14.25" customHeight="1" s="24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 ht="14.25" customHeight="1" s="24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 ht="14.25" customHeight="1" s="24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 ht="14.25" customHeight="1" s="24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 ht="14.25" customHeight="1" s="24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 ht="14.25" customHeight="1" s="24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 ht="14.25" customHeight="1" s="24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 ht="14.25" customHeight="1" s="24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 ht="14.25" customHeight="1" s="24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 ht="14.25" customHeight="1" s="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 ht="14.25" customHeight="1" s="24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 ht="14.25" customHeight="1" s="24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 ht="14.25" customHeight="1" s="24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 ht="14.25" customHeight="1" s="24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 ht="14.25" customHeight="1" s="24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 ht="14.25" customHeight="1" s="24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 ht="14.25" customHeight="1" s="24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 ht="14.25" customHeight="1" s="24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 ht="14.25" customHeight="1" s="24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 ht="14.25" customHeight="1" s="2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 ht="14.25" customHeight="1" s="24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 ht="14.25" customHeight="1" s="24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 ht="14.25" customHeight="1" s="24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 ht="14.25" customHeight="1" s="24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 ht="14.25" customHeight="1" s="24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 ht="14.25" customHeight="1" s="24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 ht="14.25" customHeight="1" s="24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 ht="14.25" customHeight="1" s="24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 ht="14.25" customHeight="1" s="24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 ht="14.25" customHeight="1" s="2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 ht="14.25" customHeight="1" s="24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 ht="14.25" customHeight="1" s="24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 ht="14.25" customHeight="1" s="24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 ht="14.25" customHeight="1" s="24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 ht="14.25" customHeight="1" s="24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 ht="14.25" customHeight="1" s="24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 ht="14.25" customHeight="1" s="24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 ht="14.25" customHeight="1" s="24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 ht="14.25" customHeight="1" s="24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 ht="14.25" customHeight="1" s="2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 ht="14.25" customHeight="1" s="24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 ht="14.25" customHeight="1" s="24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 ht="14.25" customHeight="1" s="24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 ht="14.25" customHeight="1" s="24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 ht="14.25" customHeight="1" s="24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 ht="14.25" customHeight="1" s="24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 ht="14.25" customHeight="1" s="24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 ht="14.25" customHeight="1" s="24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 ht="14.25" customHeight="1" s="24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 ht="14.25" customHeight="1" s="2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 ht="14.25" customHeight="1" s="24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 ht="14.25" customHeight="1" s="24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 ht="14.25" customHeight="1" s="24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 ht="14.25" customHeight="1" s="24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 ht="14.25" customHeight="1" s="24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 ht="14.25" customHeight="1" s="24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 ht="14.25" customHeight="1" s="24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 ht="14.25" customHeight="1" s="24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 ht="14.25" customHeight="1" s="24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 ht="14.25" customHeight="1" s="2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 ht="14.25" customHeight="1" s="24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 ht="14.25" customHeight="1" s="24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 ht="14.25" customHeight="1" s="24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 ht="14.25" customHeight="1" s="24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 ht="14.25" customHeight="1" s="24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 ht="14.25" customHeight="1" s="24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 ht="14.25" customHeight="1" s="24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 ht="14.25" customHeight="1" s="24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 ht="14.25" customHeight="1" s="24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 ht="14.25" customHeight="1" s="2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 ht="14.25" customHeight="1" s="24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 ht="14.25" customHeight="1" s="24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 ht="14.25" customHeight="1" s="24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 ht="14.25" customHeight="1" s="24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 ht="14.25" customHeight="1" s="24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 ht="14.25" customHeight="1" s="24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 ht="14.25" customHeight="1" s="24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 ht="14.25" customHeight="1" s="24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 ht="14.25" customHeight="1" s="24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 ht="14.25" customHeight="1" s="2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 ht="14.25" customHeight="1" s="24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 ht="14.25" customHeight="1" s="24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 ht="14.25" customHeight="1" s="24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 ht="14.25" customHeight="1" s="24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 ht="14.25" customHeight="1" s="24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 ht="14.25" customHeight="1" s="24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 ht="14.25" customHeight="1" s="24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 ht="14.25" customHeight="1" s="24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 ht="14.25" customHeight="1" s="24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 ht="14.25" customHeight="1" s="2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 ht="14.25" customHeight="1" s="24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 ht="14.25" customHeight="1" s="24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 ht="14.25" customHeight="1" s="24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 ht="14.25" customHeight="1" s="24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 ht="14.25" customHeight="1" s="24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 ht="14.25" customHeight="1" s="24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 ht="14.25" customHeight="1" s="24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 ht="14.25" customHeight="1" s="24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 ht="14.25" customHeight="1" s="24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 ht="14.25" customHeight="1" s="2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 ht="14.25" customHeight="1" s="24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 ht="14.25" customHeight="1" s="24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 ht="14.25" customHeight="1" s="24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 ht="14.25" customHeight="1" s="24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 ht="14.25" customHeight="1" s="24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 ht="14.25" customHeight="1" s="24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 ht="14.25" customHeight="1" s="24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 ht="14.25" customHeight="1" s="24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 ht="14.25" customHeight="1" s="24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 ht="14.25" customHeight="1" s="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 ht="14.25" customHeight="1" s="24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 ht="14.25" customHeight="1" s="24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 ht="14.25" customHeight="1" s="24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 ht="14.25" customHeight="1" s="24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 ht="14.25" customHeight="1" s="24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 ht="14.25" customHeight="1" s="24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 ht="14.25" customHeight="1" s="24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 ht="14.25" customHeight="1" s="24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 ht="14.25" customHeight="1" s="24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 ht="14.25" customHeight="1" s="2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 ht="14.25" customHeight="1" s="24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 ht="14.25" customHeight="1" s="24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 ht="14.25" customHeight="1" s="24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 ht="14.25" customHeight="1" s="24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 ht="14.25" customHeight="1" s="24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 ht="14.25" customHeight="1" s="24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 ht="14.25" customHeight="1" s="24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 ht="14.25" customHeight="1" s="24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 ht="14.25" customHeight="1" s="24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 ht="14.25" customHeight="1" s="2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 ht="14.25" customHeight="1" s="24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 ht="14.25" customHeight="1" s="24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 ht="14.25" customHeight="1" s="24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 ht="14.25" customHeight="1" s="24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 ht="14.25" customHeight="1" s="24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 ht="14.25" customHeight="1" s="24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 ht="14.25" customHeight="1" s="24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 ht="14.25" customHeight="1" s="24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 ht="14.25" customHeight="1" s="24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 ht="14.25" customHeight="1" s="2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 ht="14.25" customHeight="1" s="24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 ht="14.25" customHeight="1" s="24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 ht="14.25" customHeight="1" s="24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 ht="14.25" customHeight="1" s="24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 ht="14.25" customHeight="1" s="24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 ht="14.25" customHeight="1" s="24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 ht="14.25" customHeight="1" s="24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 ht="14.25" customHeight="1" s="24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 ht="14.25" customHeight="1" s="24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 ht="14.25" customHeight="1" s="2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 ht="14.25" customHeight="1" s="24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 ht="14.25" customHeight="1" s="24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 ht="14.25" customHeight="1" s="24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 ht="14.25" customHeight="1" s="24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 ht="14.25" customHeight="1" s="24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 ht="14.25" customHeight="1" s="24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 ht="14.25" customHeight="1" s="24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 ht="14.25" customHeight="1" s="24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 ht="14.25" customHeight="1" s="24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 ht="14.25" customHeight="1" s="2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 ht="14.25" customHeight="1" s="24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 ht="14.25" customHeight="1" s="24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 ht="14.25" customHeight="1" s="24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 ht="14.25" customHeight="1" s="24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 ht="14.25" customHeight="1" s="24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 ht="14.25" customHeight="1" s="24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 ht="14.25" customHeight="1" s="24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 ht="14.25" customHeight="1" s="24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 ht="14.25" customHeight="1" s="24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 ht="14.25" customHeight="1" s="2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 ht="14.25" customHeight="1" s="24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 ht="14.25" customHeight="1" s="24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 ht="14.25" customHeight="1" s="24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 ht="14.25" customHeight="1" s="24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 ht="14.25" customHeight="1" s="24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 ht="14.25" customHeight="1" s="24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 ht="14.25" customHeight="1" s="24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 ht="14.25" customHeight="1" s="24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 ht="14.25" customHeight="1" s="24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 ht="14.25" customHeight="1" s="2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 ht="14.25" customHeight="1" s="24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 ht="14.25" customHeight="1" s="24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 ht="14.25" customHeight="1" s="24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 ht="14.25" customHeight="1" s="24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 ht="14.25" customHeight="1" s="24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 ht="14.25" customHeight="1" s="24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 ht="14.25" customHeight="1" s="24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 ht="14.25" customHeight="1" s="24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 ht="14.25" customHeight="1" s="24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 ht="14.25" customHeight="1" s="2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 ht="14.25" customHeight="1" s="24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 ht="14.25" customHeight="1" s="24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 ht="14.25" customHeight="1" s="24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 ht="14.25" customHeight="1" s="24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 ht="14.25" customHeight="1" s="24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 ht="14.25" customHeight="1" s="24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 ht="14.25" customHeight="1" s="24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 ht="14.25" customHeight="1" s="24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 ht="14.25" customHeight="1" s="24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 ht="14.25" customHeight="1" s="2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 ht="14.25" customHeight="1" s="24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 ht="14.25" customHeight="1" s="24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 ht="14.25" customHeight="1" s="24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 ht="14.25" customHeight="1" s="24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 ht="14.25" customHeight="1" s="24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 ht="14.25" customHeight="1" s="24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 ht="14.25" customHeight="1" s="24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 ht="14.25" customHeight="1" s="24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 ht="14.25" customHeight="1" s="24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 ht="14.25" customHeight="1" s="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 ht="14.25" customHeight="1" s="24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 ht="14.25" customHeight="1" s="24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 ht="14.25" customHeight="1" s="24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 ht="14.25" customHeight="1" s="24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 ht="14.25" customHeight="1" s="24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 ht="14.25" customHeight="1" s="24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 ht="14.25" customHeight="1" s="24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 ht="14.25" customHeight="1" s="24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 ht="14.25" customHeight="1" s="24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 ht="14.25" customHeight="1" s="2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 ht="14.25" customHeight="1" s="24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 ht="14.25" customHeight="1" s="24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 ht="14.25" customHeight="1" s="24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 ht="14.25" customHeight="1" s="24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 ht="14.25" customHeight="1" s="24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 ht="14.25" customHeight="1" s="24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 ht="14.25" customHeight="1" s="24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 ht="14.25" customHeight="1" s="24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 ht="14.25" customHeight="1" s="24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 ht="14.25" customHeight="1" s="2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 ht="14.25" customHeight="1" s="24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 ht="14.25" customHeight="1" s="24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 ht="14.25" customHeight="1" s="24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 ht="14.25" customHeight="1" s="24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 ht="14.25" customHeight="1" s="24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 ht="14.25" customHeight="1" s="24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 ht="14.25" customHeight="1" s="24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 ht="14.25" customHeight="1" s="24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 ht="14.25" customHeight="1" s="24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 ht="14.25" customHeight="1" s="2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 ht="14.25" customHeight="1" s="24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 ht="14.25" customHeight="1" s="24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 ht="14.25" customHeight="1" s="24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 ht="14.25" customHeight="1" s="24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 ht="14.25" customHeight="1" s="24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 ht="14.25" customHeight="1" s="24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 ht="14.25" customHeight="1" s="24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 ht="14.25" customHeight="1" s="24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 ht="14.25" customHeight="1" s="24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 ht="14.25" customHeight="1" s="2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 ht="14.25" customHeight="1" s="24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 ht="14.25" customHeight="1" s="24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 ht="14.25" customHeight="1" s="24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 ht="14.25" customHeight="1" s="24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 ht="14.25" customHeight="1" s="24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 ht="14.25" customHeight="1" s="24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 ht="14.25" customHeight="1" s="24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 ht="14.25" customHeight="1" s="24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 ht="14.25" customHeight="1" s="24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 ht="14.25" customHeight="1" s="2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 ht="14.25" customHeight="1" s="24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 ht="14.25" customHeight="1" s="24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 ht="14.25" customHeight="1" s="24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 ht="14.25" customHeight="1" s="24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 ht="14.25" customHeight="1" s="24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 ht="14.25" customHeight="1" s="24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 ht="14.25" customHeight="1" s="24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 ht="14.25" customHeight="1" s="24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 ht="14.25" customHeight="1" s="24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 ht="14.25" customHeight="1" s="2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 ht="14.25" customHeight="1" s="24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 ht="14.25" customHeight="1" s="24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 ht="14.25" customHeight="1" s="24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 ht="14.25" customHeight="1" s="24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 ht="14.25" customHeight="1" s="24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 ht="14.25" customHeight="1" s="24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 ht="14.25" customHeight="1" s="24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 ht="14.25" customHeight="1" s="24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 ht="14.25" customHeight="1" s="24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 ht="14.25" customHeight="1" s="2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 ht="14.25" customHeight="1" s="24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 ht="14.25" customHeight="1" s="24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 ht="14.25" customHeight="1" s="24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 ht="14.25" customHeight="1" s="24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 ht="14.25" customHeight="1" s="24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 ht="14.25" customHeight="1" s="24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</sheetData>
  <mergeCells count="7">
    <mergeCell ref="A1:J1"/>
    <mergeCell ref="A16:B16"/>
    <mergeCell ref="B20:J20"/>
    <mergeCell ref="B22:J22"/>
    <mergeCell ref="A2:J2"/>
    <mergeCell ref="B21:J21"/>
    <mergeCell ref="A19:J19"/>
  </mergeCells>
  <conditionalFormatting sqref="I5:I15">
    <cfRule type="expression" priority="1" dxfId="5">
      <formula>I5&gt;0</formula>
    </cfRule>
  </conditionalFormatting>
  <conditionalFormatting sqref="J5:J15">
    <cfRule type="expression" priority="2" dxfId="2">
      <formula>J5&gt;0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2026-07-13T09:40:23Z</dcterms:created>
  <dcterms:modified xsi:type="dcterms:W3CDTF">2026-07-13T12:30:45Z</dcterms:modified>
</cp:coreProperties>
</file>